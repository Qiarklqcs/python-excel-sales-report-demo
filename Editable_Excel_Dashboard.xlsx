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850342f27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f4fae992fb14b80"/>
    <x:sheet xmlns:r="http://schemas.openxmlformats.org/officeDocument/2006/relationships" name="Dashboard" sheetId="2" r:id="Re520302d2aec4030"/>
    <x:sheet xmlns:r="http://schemas.openxmlformats.org/officeDocument/2006/relationships" name="Orders" sheetId="3" r:id="Rc5c9802c07584855"/>
    <x:sheet xmlns:r="http://schemas.openxmlformats.org/officeDocument/2006/relationships" name="Monthly Summary" sheetId="4" r:id="Ra865ac8c478a45b7"/>
    <x:sheet xmlns:r="http://schemas.openxmlformats.org/officeDocument/2006/relationships" name="Product Summary" sheetId="5" r:id="Rcc15d945eb09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&quot;$&quot;#,##0.00"/>
    <x:numFmt numFmtId="202" formatCode="0.0%"/>
  </x:numFmts>
  <x:fonts count="9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83153"/>
      <x:name val="Carlito"/>
    </x:font>
    <x:font>
      <x:b/>
      <x:sz val="11"/>
      <x:color rgb="FF70470F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i/>
      <x:sz val="11"/>
      <x:color rgb="FF64768A"/>
      <x:name val="Carlito"/>
    </x:font>
    <x:font>
      <x:b/>
      <x:sz val="20"/>
      <x:color rgb="FF183153"/>
      <x:name val="Carlito"/>
    </x:font>
    <x:font>
      <x:sz val="10"/>
      <x:color rgb="FF6476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8"/>
      </x:patternFill>
    </x:fill>
    <x:fill>
      <x:patternFill patternType="solid">
        <x:fgColor rgb="FFFFF3D6"/>
      </x:patternFill>
    </x:fill>
    <x:fill>
      <x:patternFill patternType="solid">
        <x:fgColor rgb="FFF6F9F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2" fontId="7" fillId="5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3fccb62ea4af6" /><Relationship Type="http://schemas.openxmlformats.org/officeDocument/2006/relationships/theme" Target="/xl/theme/theme1.xml" Id="R6f09d82f87c24914" /><Relationship Type="http://schemas.openxmlformats.org/officeDocument/2006/relationships/sharedStrings" Target="/xl/sharedStrings.xml" Id="R01e67e4a4c524d8d" /><Relationship Type="http://schemas.openxmlformats.org/officeDocument/2006/relationships/worksheet" Target="/xl/worksheets/sheet1.xml" Id="Raf4fae992fb14b80" /><Relationship Type="http://schemas.openxmlformats.org/officeDocument/2006/relationships/worksheet" Target="/xl/worksheets/sheet2.xml" Id="Re520302d2aec4030" /><Relationship Type="http://schemas.openxmlformats.org/officeDocument/2006/relationships/worksheet" Target="/xl/worksheets/sheet3.xml" Id="Rc5c9802c07584855" /><Relationship Type="http://schemas.openxmlformats.org/officeDocument/2006/relationships/worksheet" Target="/xl/worksheets/sheet4.xml" Id="Ra865ac8c478a45b7" /><Relationship Type="http://schemas.openxmlformats.org/officeDocument/2006/relationships/worksheet" Target="/xl/worksheets/sheet5.xml" Id="Rcc15d945eb0940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1e92a62d01463b" /><Relationship Type="http://schemas.openxmlformats.org/officeDocument/2006/relationships/chart" Target="/xl/drawings/charts/chart2.xml" Id="R3065d90ec38d420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Summary'!$E$2:$E$13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Product Revenue</c:v>
          </c:tx>
          <c:cat>
            <c:strRef>
              <c:f>'Product Summary'!$A$2:$A$9</c:f>
              <c:strCache>
                <c:ptCount val="0"/>
              </c:strCache>
            </c:strRef>
          </c:cat>
          <c:val>
            <c:numRef>
              <c:f>'Product Summary'!$C$2:$C$9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1e92a62d01463b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19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65d90ec38d42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12a0b3d424a3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 ht="29" customHeight="1">
      <x:c r="A1" s="4" t="str">
        <x:v>SALES REPORTING | EDITABLE EXCEL DEMO</x:v>
      </x:c>
      <x:c r="B1" s="4"/>
      <x:c r="C1" s="4"/>
      <x:c r="D1" s="4"/>
      <x:c r="E1" s="4"/>
      <x:c r="F1" s="4"/>
      <x:c r="G1" s="4"/>
      <x:c r="H1" s="4"/>
    </x:row>
    <x:row r="2" ht="29" customHeight="1">
      <x:c r="A2" s="4"/>
      <x:c r="B2" s="4"/>
      <x:c r="C2" s="4"/>
      <x:c r="D2" s="4"/>
      <x:c r="E2" s="4"/>
      <x:c r="F2" s="4"/>
      <x:c r="G2" s="4"/>
      <x:c r="H2" s="4"/>
    </x:row>
    <x:row r="4" ht="36" customHeight="1">
      <x:c r="A4" s="10" t="str">
        <x:v>PURPOSE</x:v>
      </x:c>
      <x:c r="B4" s="15" t="str">
        <x:v>Formula-based editable Excel presentation using 132 fictional retail orders.</x:v>
      </x:c>
    </x:row>
    <x:row r="5" ht="36" customHeight="1">
      <x:c r="A5" s="10" t="str">
        <x:v>HOW TO UPDATE</x:v>
      </x:c>
      <x:c r="B5" s="15" t="str">
        <x:v>Edit or replace input values in Orders columns A–H. Calculated columns I–L update in Excel.</x:v>
      </x:c>
    </x:row>
    <x:row r="6" ht="36" customHeight="1">
      <x:c r="A6" s="10" t="str">
        <x:v>ROW CAPACITY</x:v>
      </x:c>
      <x:c r="B6" s="15" t="str">
        <x:v>Pre-filled formulas cover Orders rows 2–500. Add formulas for larger datasets.</x:v>
      </x:c>
    </x:row>
    <x:row r="7" ht="36" customHeight="1">
      <x:c r="A7" s="10" t="str">
        <x:v>MONTHS</x:v>
      </x:c>
      <x:c r="B7" s="15" t="str">
        <x:v>Monthly Summary is preset for July 2026 through June 2027. Change the month list for other periods.</x:v>
      </x:c>
    </x:row>
    <x:row r="8" ht="36" customHeight="1">
      <x:c r="A8" s="10" t="str">
        <x:v>PRODUCTS</x:v>
      </x:c>
      <x:c r="B8" s="15" t="str">
        <x:v>Product Summary lists the eight demo products. Add distinct products to summarize more.</x:v>
      </x:c>
    </x:row>
    <x:row r="9" ht="36" customHeight="1">
      <x:c r="A9" s="10" t="str">
        <x:v>IMPORTANT</x:v>
      </x:c>
      <x:c r="B9" s="15" t="str">
        <x:v>This workbook is NOT connected to the Python-generated CSVs or HTML dashboard.</x:v>
      </x:c>
    </x:row>
    <x:row r="10" ht="36" customHeight="1">
      <x:c r="A10" s="10" t="str">
        <x:v>AUTO-REFRESH</x:v>
      </x:c>
      <x:c r="B10" s="15" t="str">
        <x:v>For an automatically rebuilt report from any supported CSV, use run_demo.bat / analyze_orders.py and open my_report/dashboard.html.</x:v>
      </x:c>
    </x:row>
    <x:row r="11" ht="36" customHeight="1">
      <x:c r="A11" s="10" t="str">
        <x:v>CALCULATION</x:v>
      </x:c>
      <x:c r="B11" s="15" t="str">
        <x:v>Completed orders count towards revenue/cost. Fully refunded and cancelled orders count as zero.</x:v>
      </x:c>
    </x:row>
    <x:row r="12" ht="36" customHeight="1">
      <x:c r="A12" s="10" t="str">
        <x:v>LIMITS</x:v>
      </x:c>
      <x:c r="B12" s="15" t="str">
        <x:v>CAD only; no partial refunds, shipping, tax, gateway fees, multiple currencies or inventory accounting.</x:v>
      </x:c>
    </x:row>
    <x:row r="13" ht="36" customHeight="1">
      <x:c r="A13" s="10" t="str">
        <x:v>DATA SAFETY</x:v>
      </x:c>
      <x:c r="B13" s="15" t="str">
        <x:v>Input is fictional. Do not publicly share identifiable customer exports or upload sensitive data to AI.</x:v>
      </x:c>
    </x:row>
    <x:row r="15" ht="27" customHeight="1">
      <x:c r="A15" s="19" t="str">
        <x:v>PORTFOLIO DEMONSTRATION ONLY · Not audited business or accounting records</x:v>
      </x:c>
      <x:c r="B15" s="19"/>
      <x:c r="C15" s="19"/>
      <x:c r="D15" s="19"/>
      <x:c r="E15" s="19"/>
      <x:c r="F15" s="19"/>
      <x:c r="G15" s="19"/>
      <x:c r="H15" s="19"/>
    </x:row>
  </x:sheetData>
  <x:mergeCells>
    <x:mergeCell ref="A1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6" customHeight="1">
      <x:c r="A1" s="33" t="str">
        <x:v>SALES PERFORMANCE | Portfolio Demonstration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</x:row>
    <x:row r="2" ht="26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</x:row>
    <x:row r="3" ht="26" customHeight="1">
      <x:c r="A3" s="36" t="str">
        <x:v>Editable Excel formulas · Synthetic retail orders · All values in CAD · July 2026 – June 2027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</x:row>
    <x:row r="5" ht="24" customHeight="1">
      <x:c r="A5" s="9" t="str">
        <x:v>RECOGNIZED SALES</x:v>
      </x:c>
      <x:c r="B5" s="9"/>
      <x:c r="C5" s="9"/>
      <x:c r="D5" s="9"/>
      <x:c r="F5" s="9" t="str">
        <x:v>GROSS PROFIT</x:v>
      </x:c>
      <x:c r="G5" s="9"/>
      <x:c r="H5" s="9"/>
      <x:c r="I5" s="9"/>
      <x:c r="K5" s="9" t="str">
        <x:v>COMPLETED ORDERS</x:v>
      </x:c>
      <x:c r="L5" s="9"/>
      <x:c r="M5" s="9"/>
      <x:c r="N5" s="9"/>
      <x:c r="P5" s="9" t="str">
        <x:v>GROSS MARGIN</x:v>
      </x:c>
      <x:c r="Q5" s="9"/>
      <x:c r="R5" s="9"/>
      <x:c r="S5" s="9"/>
    </x:row>
    <x:row r="6" ht="27" customHeight="1">
      <x:c r="A6" s="42" t="n">
        <x:f>SUM(Orders!J2:J500)</x:f>
        <x:v>6674</x:v>
      </x:c>
      <x:c r="B6" s="39"/>
      <x:c r="C6" s="39"/>
      <x:c r="D6" s="39"/>
      <x:c r="F6" s="42" t="n">
        <x:f>SUM(Orders!L2:L500)</x:f>
        <x:v>3909.3000000000006</x:v>
      </x:c>
      <x:c r="G6" s="39"/>
      <x:c r="H6" s="39"/>
      <x:c r="I6" s="39"/>
      <x:c r="K6" s="39" t="n">
        <x:f>COUNTIF(Orders!H2:H500,"Completed")</x:f>
        <x:v>114</x:v>
      </x:c>
      <x:c r="L6" s="39"/>
      <x:c r="M6" s="39"/>
      <x:c r="N6" s="39"/>
      <x:c r="P6" s="44" t="n">
        <x:f>IFERROR(SUM(Orders!L2:L500)/SUM(Orders!J2:J500),0)</x:f>
        <x:v>0.585750674258316</x:v>
      </x:c>
      <x:c r="Q6" s="39"/>
      <x:c r="R6" s="39"/>
      <x:c r="S6" s="39"/>
    </x:row>
    <x:row r="7" ht="27" customHeight="1">
      <x:c r="A7" s="39"/>
      <x:c r="B7" s="39"/>
      <x:c r="C7" s="39"/>
      <x:c r="D7" s="39"/>
      <x:c r="F7" s="39"/>
      <x:c r="G7" s="39"/>
      <x:c r="H7" s="39"/>
      <x:c r="I7" s="39"/>
      <x:c r="K7" s="39"/>
      <x:c r="L7" s="39"/>
      <x:c r="M7" s="39"/>
      <x:c r="N7" s="39"/>
      <x:c r="P7" s="39"/>
      <x:c r="Q7" s="39"/>
      <x:c r="R7" s="39"/>
      <x:c r="S7" s="39"/>
    </x:row>
    <x:row r="8" ht="27" customHeight="1">
      <x:c r="A8" s="39"/>
      <x:c r="B8" s="39"/>
      <x:c r="C8" s="39"/>
      <x:c r="D8" s="39"/>
      <x:c r="F8" s="39"/>
      <x:c r="G8" s="39"/>
      <x:c r="H8" s="39"/>
      <x:c r="I8" s="39"/>
      <x:c r="K8" s="39"/>
      <x:c r="L8" s="39"/>
      <x:c r="M8" s="39"/>
      <x:c r="N8" s="39"/>
      <x:c r="P8" s="39"/>
      <x:c r="Q8" s="39"/>
      <x:c r="R8" s="39"/>
      <x:c r="S8" s="39"/>
    </x:row>
    <x:row r="10" ht="25" customHeight="1">
      <x:c r="A10" s="9" t="str">
        <x:v>REVENUE BY MONTH &amp; PRODUCT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</x:row>
    <x:row r="28" ht="25" customHeight="1">
      <x:c r="A28" s="9" t="str">
        <x:v>QUICK RECONCILIATION &amp; EDITING GUIDE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</x:row>
    <x:row r="30" ht="25" customHeight="1">
      <x:c r="A30" t="str">
        <x:v>Input order rows</x:v>
      </x:c>
      <x:c r="F30" t="n">
        <x:f>COUNTA(Orders!A2:A500)</x:f>
        <x:v>132</x:v>
      </x:c>
      <x:c r="I30" s="47" t="str">
        <x:v>1. This is an editable Excel illustration; change Orders A–H to recalculate values (within rows 2–500).</x:v>
      </x:c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</x:row>
    <x:row r="31" ht="25" customHeight="1">
      <x:c r="A31" t="str">
        <x:v>Fully refunded</x:v>
      </x:c>
      <x:c r="F31" t="n">
        <x:f>COUNTIF(Orders!H2:H500,"Refunded")</x:f>
        <x:v>10</x:v>
      </x:c>
      <x:c r="I31" s="47" t="str">
        <x:v>2. Month and product lists are predefined. If new periods/products are added, also update summary sheets.</x:v>
      </x:c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</x:row>
    <x:row r="32" ht="25" customHeight="1">
      <x:c r="A32" t="str">
        <x:v>Cancelled</x:v>
      </x:c>
      <x:c r="F32" t="n">
        <x:f>COUNTIF(Orders!H2:H500,"Cancelled")</x:f>
        <x:v>8</x:v>
      </x:c>
      <x:c r="I32" s="47" t="str">
        <x:v>3. Python generates a separate self-updating HTML report: run_demo.bat → my_report/dashboard.html.</x:v>
      </x:c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</x:row>
    <x:row r="33" ht="25" customHeight="1">
      <x:c r="I33" s="47" t="str">
        <x:v>4. Revenue excludes fully refunded/cancelled orders. Gross profit excludes tax, shipping, fees and overhead.</x:v>
      </x:c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</x:row>
  </x:sheetData>
  <x:mergeCells>
    <x:mergeCell ref="A1:S2"/>
    <x:mergeCell ref="A3:S3"/>
    <x:mergeCell ref="A5:D5"/>
    <x:mergeCell ref="A6:D8"/>
    <x:mergeCell ref="F5:I5"/>
    <x:mergeCell ref="F6:I8"/>
    <x:mergeCell ref="K5:N5"/>
    <x:mergeCell ref="K6:N8"/>
    <x:mergeCell ref="P5:S5"/>
    <x:mergeCell ref="P6:S8"/>
    <x:mergeCell ref="A10:S10"/>
    <x:mergeCell ref="A28:S28"/>
    <x:mergeCell ref="A30:E30"/>
    <x:mergeCell ref="F30:G30"/>
    <x:mergeCell ref="A31:E31"/>
    <x:mergeCell ref="F31:G31"/>
    <x:mergeCell ref="A32:E32"/>
    <x:mergeCell ref="F32:G32"/>
    <x:mergeCell ref="I30:S30"/>
    <x:mergeCell ref="I31:S31"/>
    <x:mergeCell ref="I32:S32"/>
    <x:mergeCell ref="I33:S33"/>
  </x:mergeCells>
  <x:pageMargins left="0.7" right="0.7" top="0.75" bottom="0.75" header="0.3" footer="0.3"/>
  <x:drawing xmlns:r="http://schemas.openxmlformats.org/officeDocument/2006/relationships" r:id="R32712a0b3d424a3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2" hidden="0" customWidth="1"/>
    <x:col min="4" max="4" width="17" hidden="0" customWidth="1"/>
    <x:col min="5" max="5" width="13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23" t="str">
        <x:v>Order ID</x:v>
      </x:c>
      <x:c r="B1" s="23" t="str">
        <x:v>Date (YYYY-MM-DD)</x:v>
      </x:c>
      <x:c r="C1" s="23" t="str">
        <x:v>Product</x:v>
      </x:c>
      <x:c r="D1" s="23" t="str">
        <x:v>Category</x:v>
      </x:c>
      <x:c r="E1" s="23" t="str">
        <x:v>Quantity</x:v>
      </x:c>
      <x:c r="F1" s="23" t="str">
        <x:v>Unit Price (CAD)</x:v>
      </x:c>
      <x:c r="G1" s="23" t="str">
        <x:v>Unit Cost (CAD)</x:v>
      </x:c>
      <x:c r="H1" s="23" t="str">
        <x:v>Status</x:v>
      </x:c>
      <x:c r="I1" s="23" t="str">
        <x:v>Month</x:v>
      </x:c>
      <x:c r="J1" s="23" t="str">
        <x:v>Sales (CAD)</x:v>
      </x:c>
      <x:c r="K1" s="23" t="str">
        <x:v>COGS (CAD)</x:v>
      </x:c>
      <x:c r="L1" s="23" t="str">
        <x:v>Gross Profit (CAD)</x:v>
      </x:c>
    </x:row>
    <x:row r="2">
      <x:c r="A2" t="str">
        <x:v>ORD-0051</x:v>
      </x:c>
      <x:c r="B2" t="str">
        <x:v>2026-07-01</x:v>
      </x:c>
      <x:c r="C2" t="str">
        <x:v>Desk Lamp</x:v>
      </x:c>
      <x:c r="D2" t="str">
        <x:v>Home</x:v>
      </x:c>
      <x:c r="E2" t="n">
        <x:v>3</x:v>
      </x:c>
      <x:c r="F2" s="26" t="n">
        <x:v>44</x:v>
      </x:c>
      <x:c r="G2" s="26" t="n">
        <x:v>22</x:v>
      </x:c>
      <x:c r="H2" t="str">
        <x:v>Completed</x:v>
      </x:c>
      <x:c r="I2" s="28" t="str">
        <x:f>IF($A2="","",IF(ISNUMBER($B2),TEXT($B2,"yyyy-mm"),LEFT($B2,7)))</x:f>
        <x:v>2026-07</x:v>
      </x:c>
      <x:c r="J2" s="29" t="n">
        <x:f>IF($A2="","",IF($H2="Completed",$E2*$F2,0))</x:f>
        <x:v>132</x:v>
      </x:c>
      <x:c r="K2" s="29" t="n">
        <x:f>IF($A2="","",IF($H2="Completed",$E2*$G2,0))</x:f>
        <x:v>66</x:v>
      </x:c>
      <x:c r="L2" s="29" t="n">
        <x:f>IF($A2="","",J2-K2)</x:f>
        <x:v>66</x:v>
      </x:c>
    </x:row>
    <x:row r="3">
      <x:c r="A3" t="str">
        <x:v>ORD-0062</x:v>
      </x:c>
      <x:c r="B3" t="str">
        <x:v>2026-07-03</x:v>
      </x:c>
      <x:c r="C3" t="str">
        <x:v>Water Bottle</x:v>
      </x:c>
      <x:c r="D3" t="str">
        <x:v>Accessories</x:v>
      </x:c>
      <x:c r="E3" t="n">
        <x:v>2</x:v>
      </x:c>
      <x:c r="F3" s="26" t="n">
        <x:v>24</x:v>
      </x:c>
      <x:c r="G3" s="26" t="n">
        <x:v>9.2</x:v>
      </x:c>
      <x:c r="H3" t="str">
        <x:v>Completed</x:v>
      </x:c>
      <x:c r="I3" s="28" t="str">
        <x:f>IF($A3="","",IF(ISNUMBER($B3),TEXT($B3,"yyyy-mm"),LEFT($B3,7)))</x:f>
        <x:v>2026-07</x:v>
      </x:c>
      <x:c r="J3" s="29" t="n">
        <x:f>IF($A3="","",IF($H3="Completed",$E3*$F3,0))</x:f>
        <x:v>48</x:v>
      </x:c>
      <x:c r="K3" s="29" t="n">
        <x:f>IF($A3="","",IF($H3="Completed",$E3*$G3,0))</x:f>
        <x:v>18.4</x:v>
      </x:c>
      <x:c r="L3" s="29" t="n">
        <x:f>IF($A3="","",J3-K3)</x:f>
        <x:v>29.6</x:v>
      </x:c>
    </x:row>
    <x:row r="4">
      <x:c r="A4" t="str">
        <x:v>ORD-0108</x:v>
      </x:c>
      <x:c r="B4" t="str">
        <x:v>2026-07-03</x:v>
      </x:c>
      <x:c r="C4" t="str">
        <x:v>Desk Lamp</x:v>
      </x:c>
      <x:c r="D4" t="str">
        <x:v>Home</x:v>
      </x:c>
      <x:c r="E4" t="n">
        <x:v>4</x:v>
      </x:c>
      <x:c r="F4" s="26" t="n">
        <x:v>44</x:v>
      </x:c>
      <x:c r="G4" s="26" t="n">
        <x:v>22</x:v>
      </x:c>
      <x:c r="H4" t="str">
        <x:v>Completed</x:v>
      </x:c>
      <x:c r="I4" s="28" t="str">
        <x:f>IF($A4="","",IF(ISNUMBER($B4),TEXT($B4,"yyyy-mm"),LEFT($B4,7)))</x:f>
        <x:v>2026-07</x:v>
      </x:c>
      <x:c r="J4" s="29" t="n">
        <x:f>IF($A4="","",IF($H4="Completed",$E4*$F4,0))</x:f>
        <x:v>176</x:v>
      </x:c>
      <x:c r="K4" s="29" t="n">
        <x:f>IF($A4="","",IF($H4="Completed",$E4*$G4,0))</x:f>
        <x:v>88</x:v>
      </x:c>
      <x:c r="L4" s="29" t="n">
        <x:f>IF($A4="","",J4-K4)</x:f>
        <x:v>88</x:v>
      </x:c>
    </x:row>
    <x:row r="5">
      <x:c r="A5" t="str">
        <x:v>ORD-0083</x:v>
      </x:c>
      <x:c r="B5" t="str">
        <x:v>2026-07-08</x:v>
      </x:c>
      <x:c r="C5" t="str">
        <x:v>Notebook</x:v>
      </x:c>
      <x:c r="D5" t="str">
        <x:v>Stationery</x:v>
      </x:c>
      <x:c r="E5" t="n">
        <x:v>2</x:v>
      </x:c>
      <x:c r="F5" s="26" t="n">
        <x:v>12</x:v>
      </x:c>
      <x:c r="G5" s="26" t="n">
        <x:v>4.1</x:v>
      </x:c>
      <x:c r="H5" t="str">
        <x:v>Completed</x:v>
      </x:c>
      <x:c r="I5" s="28" t="str">
        <x:f>IF($A5="","",IF(ISNUMBER($B5),TEXT($B5,"yyyy-mm"),LEFT($B5,7)))</x:f>
        <x:v>2026-07</x:v>
      </x:c>
      <x:c r="J5" s="29" t="n">
        <x:f>IF($A5="","",IF($H5="Completed",$E5*$F5,0))</x:f>
        <x:v>24</x:v>
      </x:c>
      <x:c r="K5" s="29" t="n">
        <x:f>IF($A5="","",IF($H5="Completed",$E5*$G5,0))</x:f>
        <x:v>8.2</x:v>
      </x:c>
      <x:c r="L5" s="29" t="n">
        <x:f>IF($A5="","",J5-K5)</x:f>
        <x:v>15.8</x:v>
      </x:c>
    </x:row>
    <x:row r="6">
      <x:c r="A6" t="str">
        <x:v>ORD-0111</x:v>
      </x:c>
      <x:c r="B6" t="str">
        <x:v>2026-07-08</x:v>
      </x:c>
      <x:c r="C6" t="str">
        <x:v>Canvas Tote</x:v>
      </x:c>
      <x:c r="D6" t="str">
        <x:v>Accessories</x:v>
      </x:c>
      <x:c r="E6" t="n">
        <x:v>1</x:v>
      </x:c>
      <x:c r="F6" s="26" t="n">
        <x:v>18</x:v>
      </x:c>
      <x:c r="G6" s="26" t="n">
        <x:v>6.3</x:v>
      </x:c>
      <x:c r="H6" t="str">
        <x:v>Cancelled</x:v>
      </x:c>
      <x:c r="I6" s="28" t="str">
        <x:f>IF($A6="","",IF(ISNUMBER($B6),TEXT($B6,"yyyy-mm"),LEFT($B6,7)))</x:f>
        <x:v>2026-07</x:v>
      </x:c>
      <x:c r="J6" s="29" t="n">
        <x:f>IF($A6="","",IF($H6="Completed",$E6*$F6,0))</x:f>
        <x:v>0</x:v>
      </x:c>
      <x:c r="K6" s="29" t="n">
        <x:f>IF($A6="","",IF($H6="Completed",$E6*$G6,0))</x:f>
        <x:v>0</x:v>
      </x:c>
      <x:c r="L6" s="29" t="n">
        <x:f>IF($A6="","",J6-K6)</x:f>
        <x:v>0</x:v>
      </x:c>
    </x:row>
    <x:row r="7">
      <x:c r="A7" t="str">
        <x:v>ORD-0015</x:v>
      </x:c>
      <x:c r="B7" t="str">
        <x:v>2026-07-09</x:v>
      </x:c>
      <x:c r="C7" t="str">
        <x:v>Phone Stand</x:v>
      </x:c>
      <x:c r="D7" t="str">
        <x:v>Accessories</x:v>
      </x:c>
      <x:c r="E7" t="n">
        <x:v>1</x:v>
      </x:c>
      <x:c r="F7" s="26" t="n">
        <x:v>28</x:v>
      </x:c>
      <x:c r="G7" s="26" t="n">
        <x:v>11.7</x:v>
      </x:c>
      <x:c r="H7" t="str">
        <x:v>Completed</x:v>
      </x:c>
      <x:c r="I7" s="28" t="str">
        <x:f>IF($A7="","",IF(ISNUMBER($B7),TEXT($B7,"yyyy-mm"),LEFT($B7,7)))</x:f>
        <x:v>2026-07</x:v>
      </x:c>
      <x:c r="J7" s="29" t="n">
        <x:f>IF($A7="","",IF($H7="Completed",$E7*$F7,0))</x:f>
        <x:v>28</x:v>
      </x:c>
      <x:c r="K7" s="29" t="n">
        <x:f>IF($A7="","",IF($H7="Completed",$E7*$G7,0))</x:f>
        <x:v>11.7</x:v>
      </x:c>
      <x:c r="L7" s="29" t="n">
        <x:f>IF($A7="","",J7-K7)</x:f>
        <x:v>16.3</x:v>
      </x:c>
    </x:row>
    <x:row r="8">
      <x:c r="A8" t="str">
        <x:v>ORD-0018</x:v>
      </x:c>
      <x:c r="B8" t="str">
        <x:v>2026-07-09</x:v>
      </x:c>
      <x:c r="C8" t="str">
        <x:v>Canvas Tote</x:v>
      </x:c>
      <x:c r="D8" t="str">
        <x:v>Accessories</x:v>
      </x:c>
      <x:c r="E8" t="n">
        <x:v>4</x:v>
      </x:c>
      <x:c r="F8" s="26" t="n">
        <x:v>18</x:v>
      </x:c>
      <x:c r="G8" s="26" t="n">
        <x:v>6.3</x:v>
      </x:c>
      <x:c r="H8" t="str">
        <x:v>Completed</x:v>
      </x:c>
      <x:c r="I8" s="28" t="str">
        <x:f>IF($A8="","",IF(ISNUMBER($B8),TEXT($B8,"yyyy-mm"),LEFT($B8,7)))</x:f>
        <x:v>2026-07</x:v>
      </x:c>
      <x:c r="J8" s="29" t="n">
        <x:f>IF($A8="","",IF($H8="Completed",$E8*$F8,0))</x:f>
        <x:v>72</x:v>
      </x:c>
      <x:c r="K8" s="29" t="n">
        <x:f>IF($A8="","",IF($H8="Completed",$E8*$G8,0))</x:f>
        <x:v>25.2</x:v>
      </x:c>
      <x:c r="L8" s="29" t="n">
        <x:f>IF($A8="","",J8-K8)</x:f>
        <x:v>46.8</x:v>
      </x:c>
    </x:row>
    <x:row r="9">
      <x:c r="A9" t="str">
        <x:v>ORD-0020</x:v>
      </x:c>
      <x:c r="B9" t="str">
        <x:v>2026-07-09</x:v>
      </x:c>
      <x:c r="C9" t="str">
        <x:v>Phone Stand</x:v>
      </x:c>
      <x:c r="D9" t="str">
        <x:v>Accessories</x:v>
      </x:c>
      <x:c r="E9" t="n">
        <x:v>4</x:v>
      </x:c>
      <x:c r="F9" s="26" t="n">
        <x:v>28</x:v>
      </x:c>
      <x:c r="G9" s="26" t="n">
        <x:v>11.7</x:v>
      </x:c>
      <x:c r="H9" t="str">
        <x:v>Completed</x:v>
      </x:c>
      <x:c r="I9" s="28" t="str">
        <x:f>IF($A9="","",IF(ISNUMBER($B9),TEXT($B9,"yyyy-mm"),LEFT($B9,7)))</x:f>
        <x:v>2026-07</x:v>
      </x:c>
      <x:c r="J9" s="29" t="n">
        <x:f>IF($A9="","",IF($H9="Completed",$E9*$F9,0))</x:f>
        <x:v>112</x:v>
      </x:c>
      <x:c r="K9" s="29" t="n">
        <x:f>IF($A9="","",IF($H9="Completed",$E9*$G9,0))</x:f>
        <x:v>46.8</x:v>
      </x:c>
      <x:c r="L9" s="29" t="n">
        <x:f>IF($A9="","",J9-K9)</x:f>
        <x:v>65.2</x:v>
      </x:c>
    </x:row>
    <x:row r="10">
      <x:c r="A10" t="str">
        <x:v>ORD-0095</x:v>
      </x:c>
      <x:c r="B10" t="str">
        <x:v>2026-07-09</x:v>
      </x:c>
      <x:c r="C10" t="str">
        <x:v>Canvas Tote</x:v>
      </x:c>
      <x:c r="D10" t="str">
        <x:v>Accessories</x:v>
      </x:c>
      <x:c r="E10" t="n">
        <x:v>3</x:v>
      </x:c>
      <x:c r="F10" s="26" t="n">
        <x:v>18</x:v>
      </x:c>
      <x:c r="G10" s="26" t="n">
        <x:v>6.3</x:v>
      </x:c>
      <x:c r="H10" t="str">
        <x:v>Completed</x:v>
      </x:c>
      <x:c r="I10" s="28" t="str">
        <x:f>IF($A10="","",IF(ISNUMBER($B10),TEXT($B10,"yyyy-mm"),LEFT($B10,7)))</x:f>
        <x:v>2026-07</x:v>
      </x:c>
      <x:c r="J10" s="29" t="n">
        <x:f>IF($A10="","",IF($H10="Completed",$E10*$F10,0))</x:f>
        <x:v>54</x:v>
      </x:c>
      <x:c r="K10" s="29" t="n">
        <x:f>IF($A10="","",IF($H10="Completed",$E10*$G10,0))</x:f>
        <x:v>18.9</x:v>
      </x:c>
      <x:c r="L10" s="29" t="n">
        <x:f>IF($A10="","",J10-K10)</x:f>
        <x:v>35.1</x:v>
      </x:c>
    </x:row>
    <x:row r="11">
      <x:c r="A11" t="str">
        <x:v>ORD-0109</x:v>
      </x:c>
      <x:c r="B11" t="str">
        <x:v>2026-07-09</x:v>
      </x:c>
      <x:c r="C11" t="str">
        <x:v>Pen Set</x:v>
      </x:c>
      <x:c r="D11" t="str">
        <x:v>Stationery</x:v>
      </x:c>
      <x:c r="E11" t="n">
        <x:v>1</x:v>
      </x:c>
      <x:c r="F11" s="26" t="n">
        <x:v>15</x:v>
      </x:c>
      <x:c r="G11" s="26" t="n">
        <x:v>5</x:v>
      </x:c>
      <x:c r="H11" t="str">
        <x:v>Completed</x:v>
      </x:c>
      <x:c r="I11" s="28" t="str">
        <x:f>IF($A11="","",IF(ISNUMBER($B11),TEXT($B11,"yyyy-mm"),LEFT($B11,7)))</x:f>
        <x:v>2026-07</x:v>
      </x:c>
      <x:c r="J11" s="29" t="n">
        <x:f>IF($A11="","",IF($H11="Completed",$E11*$F11,0))</x:f>
        <x:v>15</x:v>
      </x:c>
      <x:c r="K11" s="29" t="n">
        <x:f>IF($A11="","",IF($H11="Completed",$E11*$G11,0))</x:f>
        <x:v>5</x:v>
      </x:c>
      <x:c r="L11" s="29" t="n">
        <x:f>IF($A11="","",J11-K11)</x:f>
        <x:v>10</x:v>
      </x:c>
    </x:row>
    <x:row r="12">
      <x:c r="A12" t="str">
        <x:v>ORD-0067</x:v>
      </x:c>
      <x:c r="B12" t="str">
        <x:v>2026-07-11</x:v>
      </x:c>
      <x:c r="C12" t="str">
        <x:v>Phone Stand</x:v>
      </x:c>
      <x:c r="D12" t="str">
        <x:v>Accessories</x:v>
      </x:c>
      <x:c r="E12" t="n">
        <x:v>4</x:v>
      </x:c>
      <x:c r="F12" s="26" t="n">
        <x:v>28</x:v>
      </x:c>
      <x:c r="G12" s="26" t="n">
        <x:v>11.7</x:v>
      </x:c>
      <x:c r="H12" t="str">
        <x:v>Completed</x:v>
      </x:c>
      <x:c r="I12" s="28" t="str">
        <x:f>IF($A12="","",IF(ISNUMBER($B12),TEXT($B12,"yyyy-mm"),LEFT($B12,7)))</x:f>
        <x:v>2026-07</x:v>
      </x:c>
      <x:c r="J12" s="29" t="n">
        <x:f>IF($A12="","",IF($H12="Completed",$E12*$F12,0))</x:f>
        <x:v>112</x:v>
      </x:c>
      <x:c r="K12" s="29" t="n">
        <x:f>IF($A12="","",IF($H12="Completed",$E12*$G12,0))</x:f>
        <x:v>46.8</x:v>
      </x:c>
      <x:c r="L12" s="29" t="n">
        <x:f>IF($A12="","",J12-K12)</x:f>
        <x:v>65.2</x:v>
      </x:c>
    </x:row>
    <x:row r="13">
      <x:c r="A13" t="str">
        <x:v>ORD-0014</x:v>
      </x:c>
      <x:c r="B13" t="str">
        <x:v>2026-07-12</x:v>
      </x:c>
      <x:c r="C13" t="str">
        <x:v>Pen Set</x:v>
      </x:c>
      <x:c r="D13" t="str">
        <x:v>Stationery</x:v>
      </x:c>
      <x:c r="E13" t="n">
        <x:v>1</x:v>
      </x:c>
      <x:c r="F13" s="26" t="n">
        <x:v>15</x:v>
      </x:c>
      <x:c r="G13" s="26" t="n">
        <x:v>5</x:v>
      </x:c>
      <x:c r="H13" t="str">
        <x:v>Completed</x:v>
      </x:c>
      <x:c r="I13" s="28" t="str">
        <x:f>IF($A13="","",IF(ISNUMBER($B13),TEXT($B13,"yyyy-mm"),LEFT($B13,7)))</x:f>
        <x:v>2026-07</x:v>
      </x:c>
      <x:c r="J13" s="29" t="n">
        <x:f>IF($A13="","",IF($H13="Completed",$E13*$F13,0))</x:f>
        <x:v>15</x:v>
      </x:c>
      <x:c r="K13" s="29" t="n">
        <x:f>IF($A13="","",IF($H13="Completed",$E13*$G13,0))</x:f>
        <x:v>5</x:v>
      </x:c>
      <x:c r="L13" s="29" t="n">
        <x:f>IF($A13="","",J13-K13)</x:f>
        <x:v>10</x:v>
      </x:c>
    </x:row>
    <x:row r="14">
      <x:c r="A14" t="str">
        <x:v>ORD-0002</x:v>
      </x:c>
      <x:c r="B14" t="str">
        <x:v>2026-07-13</x:v>
      </x:c>
      <x:c r="C14" t="str">
        <x:v>Ceramic Mug</x:v>
      </x:c>
      <x:c r="D14" t="str">
        <x:v>Home</x:v>
      </x:c>
      <x:c r="E14" t="n">
        <x:v>3</x:v>
      </x:c>
      <x:c r="F14" s="26" t="n">
        <x:v>22</x:v>
      </x:c>
      <x:c r="G14" s="26" t="n">
        <x:v>8.4</x:v>
      </x:c>
      <x:c r="H14" t="str">
        <x:v>Completed</x:v>
      </x:c>
      <x:c r="I14" s="28" t="str">
        <x:f>IF($A14="","",IF(ISNUMBER($B14),TEXT($B14,"yyyy-mm"),LEFT($B14,7)))</x:f>
        <x:v>2026-07</x:v>
      </x:c>
      <x:c r="J14" s="29" t="n">
        <x:f>IF($A14="","",IF($H14="Completed",$E14*$F14,0))</x:f>
        <x:v>66</x:v>
      </x:c>
      <x:c r="K14" s="29" t="n">
        <x:f>IF($A14="","",IF($H14="Completed",$E14*$G14,0))</x:f>
        <x:v>25.200000000000003</x:v>
      </x:c>
      <x:c r="L14" s="29" t="n">
        <x:f>IF($A14="","",J14-K14)</x:f>
        <x:v>40.8</x:v>
      </x:c>
    </x:row>
    <x:row r="15">
      <x:c r="A15" t="str">
        <x:v>ORD-0049</x:v>
      </x:c>
      <x:c r="B15" t="str">
        <x:v>2026-07-13</x:v>
      </x:c>
      <x:c r="C15" t="str">
        <x:v>Phone Stand</x:v>
      </x:c>
      <x:c r="D15" t="str">
        <x:v>Accessories</x:v>
      </x:c>
      <x:c r="E15" t="n">
        <x:v>3</x:v>
      </x:c>
      <x:c r="F15" s="26" t="n">
        <x:v>28</x:v>
      </x:c>
      <x:c r="G15" s="26" t="n">
        <x:v>11.7</x:v>
      </x:c>
      <x:c r="H15" t="str">
        <x:v>Completed</x:v>
      </x:c>
      <x:c r="I15" s="28" t="str">
        <x:f>IF($A15="","",IF(ISNUMBER($B15),TEXT($B15,"yyyy-mm"),LEFT($B15,7)))</x:f>
        <x:v>2026-07</x:v>
      </x:c>
      <x:c r="J15" s="29" t="n">
        <x:f>IF($A15="","",IF($H15="Completed",$E15*$F15,0))</x:f>
        <x:v>84</x:v>
      </x:c>
      <x:c r="K15" s="29" t="n">
        <x:f>IF($A15="","",IF($H15="Completed",$E15*$G15,0))</x:f>
        <x:v>35.099999999999994</x:v>
      </x:c>
      <x:c r="L15" s="29" t="n">
        <x:f>IF($A15="","",J15-K15)</x:f>
        <x:v>48.900000000000006</x:v>
      </x:c>
    </x:row>
    <x:row r="16">
      <x:c r="A16" t="str">
        <x:v>ORD-0033</x:v>
      </x:c>
      <x:c r="B16" t="str">
        <x:v>2026-07-14</x:v>
      </x:c>
      <x:c r="C16" t="str">
        <x:v>Phone Stand</x:v>
      </x:c>
      <x:c r="D16" t="str">
        <x:v>Accessories</x:v>
      </x:c>
      <x:c r="E16" t="n">
        <x:v>2</x:v>
      </x:c>
      <x:c r="F16" s="26" t="n">
        <x:v>28</x:v>
      </x:c>
      <x:c r="G16" s="26" t="n">
        <x:v>11.7</x:v>
      </x:c>
      <x:c r="H16" t="str">
        <x:v>Completed</x:v>
      </x:c>
      <x:c r="I16" s="28" t="str">
        <x:f>IF($A16="","",IF(ISNUMBER($B16),TEXT($B16,"yyyy-mm"),LEFT($B16,7)))</x:f>
        <x:v>2026-07</x:v>
      </x:c>
      <x:c r="J16" s="29" t="n">
        <x:f>IF($A16="","",IF($H16="Completed",$E16*$F16,0))</x:f>
        <x:v>56</x:v>
      </x:c>
      <x:c r="K16" s="29" t="n">
        <x:f>IF($A16="","",IF($H16="Completed",$E16*$G16,0))</x:f>
        <x:v>23.4</x:v>
      </x:c>
      <x:c r="L16" s="29" t="n">
        <x:f>IF($A16="","",J16-K16)</x:f>
        <x:v>32.6</x:v>
      </x:c>
    </x:row>
    <x:row r="17">
      <x:c r="A17" t="str">
        <x:v>ORD-0034</x:v>
      </x:c>
      <x:c r="B17" t="str">
        <x:v>2026-07-14</x:v>
      </x:c>
      <x:c r="C17" t="str">
        <x:v>Canvas Tote</x:v>
      </x:c>
      <x:c r="D17" t="str">
        <x:v>Accessories</x:v>
      </x:c>
      <x:c r="E17" t="n">
        <x:v>1</x:v>
      </x:c>
      <x:c r="F17" s="26" t="n">
        <x:v>18</x:v>
      </x:c>
      <x:c r="G17" s="26" t="n">
        <x:v>6.3</x:v>
      </x:c>
      <x:c r="H17" t="str">
        <x:v>Completed</x:v>
      </x:c>
      <x:c r="I17" s="28" t="str">
        <x:f>IF($A17="","",IF(ISNUMBER($B17),TEXT($B17,"yyyy-mm"),LEFT($B17,7)))</x:f>
        <x:v>2026-07</x:v>
      </x:c>
      <x:c r="J17" s="29" t="n">
        <x:f>IF($A17="","",IF($H17="Completed",$E17*$F17,0))</x:f>
        <x:v>18</x:v>
      </x:c>
      <x:c r="K17" s="29" t="n">
        <x:f>IF($A17="","",IF($H17="Completed",$E17*$G17,0))</x:f>
        <x:v>6.3</x:v>
      </x:c>
      <x:c r="L17" s="29" t="n">
        <x:f>IF($A17="","",J17-K17)</x:f>
        <x:v>11.7</x:v>
      </x:c>
    </x:row>
    <x:row r="18">
      <x:c r="A18" t="str">
        <x:v>ORD-0121</x:v>
      </x:c>
      <x:c r="B18" t="str">
        <x:v>2026-07-14</x:v>
      </x:c>
      <x:c r="C18" t="str">
        <x:v>Notebook</x:v>
      </x:c>
      <x:c r="D18" t="str">
        <x:v>Stationery</x:v>
      </x:c>
      <x:c r="E18" t="n">
        <x:v>3</x:v>
      </x:c>
      <x:c r="F18" s="26" t="n">
        <x:v>12</x:v>
      </x:c>
      <x:c r="G18" s="26" t="n">
        <x:v>4.1</x:v>
      </x:c>
      <x:c r="H18" t="str">
        <x:v>Completed</x:v>
      </x:c>
      <x:c r="I18" s="28" t="str">
        <x:f>IF($A18="","",IF(ISNUMBER($B18),TEXT($B18,"yyyy-mm"),LEFT($B18,7)))</x:f>
        <x:v>2026-07</x:v>
      </x:c>
      <x:c r="J18" s="29" t="n">
        <x:f>IF($A18="","",IF($H18="Completed",$E18*$F18,0))</x:f>
        <x:v>36</x:v>
      </x:c>
      <x:c r="K18" s="29" t="n">
        <x:f>IF($A18="","",IF($H18="Completed",$E18*$G18,0))</x:f>
        <x:v>12.299999999999999</x:v>
      </x:c>
      <x:c r="L18" s="29" t="n">
        <x:f>IF($A18="","",J18-K18)</x:f>
        <x:v>23.700000000000003</x:v>
      </x:c>
    </x:row>
    <x:row r="19">
      <x:c r="A19" t="str">
        <x:v>ORD-0016</x:v>
      </x:c>
      <x:c r="B19" t="str">
        <x:v>2026-07-17</x:v>
      </x:c>
      <x:c r="C19" t="str">
        <x:v>Phone Stand</x:v>
      </x:c>
      <x:c r="D19" t="str">
        <x:v>Accessories</x:v>
      </x:c>
      <x:c r="E19" t="n">
        <x:v>1</x:v>
      </x:c>
      <x:c r="F19" s="26" t="n">
        <x:v>28</x:v>
      </x:c>
      <x:c r="G19" s="26" t="n">
        <x:v>11.7</x:v>
      </x:c>
      <x:c r="H19" t="str">
        <x:v>Completed</x:v>
      </x:c>
      <x:c r="I19" s="28" t="str">
        <x:f>IF($A19="","",IF(ISNUMBER($B19),TEXT($B19,"yyyy-mm"),LEFT($B19,7)))</x:f>
        <x:v>2026-07</x:v>
      </x:c>
      <x:c r="J19" s="29" t="n">
        <x:f>IF($A19="","",IF($H19="Completed",$E19*$F19,0))</x:f>
        <x:v>28</x:v>
      </x:c>
      <x:c r="K19" s="29" t="n">
        <x:f>IF($A19="","",IF($H19="Completed",$E19*$G19,0))</x:f>
        <x:v>11.7</x:v>
      </x:c>
      <x:c r="L19" s="29" t="n">
        <x:f>IF($A19="","",J19-K19)</x:f>
        <x:v>16.3</x:v>
      </x:c>
    </x:row>
    <x:row r="20">
      <x:c r="A20" t="str">
        <x:v>ORD-0040</x:v>
      </x:c>
      <x:c r="B20" t="str">
        <x:v>2026-07-17</x:v>
      </x:c>
      <x:c r="C20" t="str">
        <x:v>Phone Stand</x:v>
      </x:c>
      <x:c r="D20" t="str">
        <x:v>Accessories</x:v>
      </x:c>
      <x:c r="E20" t="n">
        <x:v>2</x:v>
      </x:c>
      <x:c r="F20" s="26" t="n">
        <x:v>28</x:v>
      </x:c>
      <x:c r="G20" s="26" t="n">
        <x:v>11.7</x:v>
      </x:c>
      <x:c r="H20" t="str">
        <x:v>Completed</x:v>
      </x:c>
      <x:c r="I20" s="28" t="str">
        <x:f>IF($A20="","",IF(ISNUMBER($B20),TEXT($B20,"yyyy-mm"),LEFT($B20,7)))</x:f>
        <x:v>2026-07</x:v>
      </x:c>
      <x:c r="J20" s="29" t="n">
        <x:f>IF($A20="","",IF($H20="Completed",$E20*$F20,0))</x:f>
        <x:v>56</x:v>
      </x:c>
      <x:c r="K20" s="29" t="n">
        <x:f>IF($A20="","",IF($H20="Completed",$E20*$G20,0))</x:f>
        <x:v>23.4</x:v>
      </x:c>
      <x:c r="L20" s="29" t="n">
        <x:f>IF($A20="","",J20-K20)</x:f>
        <x:v>32.6</x:v>
      </x:c>
    </x:row>
    <x:row r="21">
      <x:c r="A21" t="str">
        <x:v>ORD-0001</x:v>
      </x:c>
      <x:c r="B21" t="str">
        <x:v>2026-07-18</x:v>
      </x:c>
      <x:c r="C21" t="str">
        <x:v>Phone Stand</x:v>
      </x:c>
      <x:c r="D21" t="str">
        <x:v>Accessories</x:v>
      </x:c>
      <x:c r="E21" t="n">
        <x:v>3</x:v>
      </x:c>
      <x:c r="F21" s="26" t="n">
        <x:v>28</x:v>
      </x:c>
      <x:c r="G21" s="26" t="n">
        <x:v>11.7</x:v>
      </x:c>
      <x:c r="H21" t="str">
        <x:v>Completed</x:v>
      </x:c>
      <x:c r="I21" s="28" t="str">
        <x:f>IF($A21="","",IF(ISNUMBER($B21),TEXT($B21,"yyyy-mm"),LEFT($B21,7)))</x:f>
        <x:v>2026-07</x:v>
      </x:c>
      <x:c r="J21" s="29" t="n">
        <x:f>IF($A21="","",IF($H21="Completed",$E21*$F21,0))</x:f>
        <x:v>84</x:v>
      </x:c>
      <x:c r="K21" s="29" t="n">
        <x:f>IF($A21="","",IF($H21="Completed",$E21*$G21,0))</x:f>
        <x:v>35.099999999999994</x:v>
      </x:c>
      <x:c r="L21" s="29" t="n">
        <x:f>IF($A21="","",J21-K21)</x:f>
        <x:v>48.900000000000006</x:v>
      </x:c>
    </x:row>
    <x:row r="22">
      <x:c r="A22" t="str">
        <x:v>ORD-0057</x:v>
      </x:c>
      <x:c r="B22" t="str">
        <x:v>2026-07-20</x:v>
      </x:c>
      <x:c r="C22" t="str">
        <x:v>Desk Lamp</x:v>
      </x:c>
      <x:c r="D22" t="str">
        <x:v>Home</x:v>
      </x:c>
      <x:c r="E22" t="n">
        <x:v>2</x:v>
      </x:c>
      <x:c r="F22" s="26" t="n">
        <x:v>44</x:v>
      </x:c>
      <x:c r="G22" s="26" t="n">
        <x:v>22</x:v>
      </x:c>
      <x:c r="H22" t="str">
        <x:v>Refunded</x:v>
      </x:c>
      <x:c r="I22" s="28" t="str">
        <x:f>IF($A22="","",IF(ISNUMBER($B22),TEXT($B22,"yyyy-mm"),LEFT($B22,7)))</x:f>
        <x:v>2026-07</x:v>
      </x:c>
      <x:c r="J22" s="29" t="n">
        <x:f>IF($A22="","",IF($H22="Completed",$E22*$F22,0))</x:f>
        <x:v>0</x:v>
      </x:c>
      <x:c r="K22" s="29" t="n">
        <x:f>IF($A22="","",IF($H22="Completed",$E22*$G22,0))</x:f>
        <x:v>0</x:v>
      </x:c>
      <x:c r="L22" s="29" t="n">
        <x:f>IF($A22="","",J22-K22)</x:f>
        <x:v>0</x:v>
      </x:c>
    </x:row>
    <x:row r="23">
      <x:c r="A23" t="str">
        <x:v>ORD-0045</x:v>
      </x:c>
      <x:c r="B23" t="str">
        <x:v>2026-07-21</x:v>
      </x:c>
      <x:c r="C23" t="str">
        <x:v>Phone Stand</x:v>
      </x:c>
      <x:c r="D23" t="str">
        <x:v>Accessories</x:v>
      </x:c>
      <x:c r="E23" t="n">
        <x:v>1</x:v>
      </x:c>
      <x:c r="F23" s="26" t="n">
        <x:v>28</x:v>
      </x:c>
      <x:c r="G23" s="26" t="n">
        <x:v>11.7</x:v>
      </x:c>
      <x:c r="H23" t="str">
        <x:v>Refunded</x:v>
      </x:c>
      <x:c r="I23" s="28" t="str">
        <x:f>IF($A23="","",IF(ISNUMBER($B23),TEXT($B23,"yyyy-mm"),LEFT($B23,7)))</x:f>
        <x:v>2026-07</x:v>
      </x:c>
      <x:c r="J23" s="29" t="n">
        <x:f>IF($A23="","",IF($H23="Completed",$E23*$F23,0))</x:f>
        <x:v>0</x:v>
      </x:c>
      <x:c r="K23" s="29" t="n">
        <x:f>IF($A23="","",IF($H23="Completed",$E23*$G23,0))</x:f>
        <x:v>0</x:v>
      </x:c>
      <x:c r="L23" s="29" t="n">
        <x:f>IF($A23="","",J23-K23)</x:f>
        <x:v>0</x:v>
      </x:c>
    </x:row>
    <x:row r="24">
      <x:c r="A24" t="str">
        <x:v>ORD-0036</x:v>
      </x:c>
      <x:c r="B24" t="str">
        <x:v>2026-07-23</x:v>
      </x:c>
      <x:c r="C24" t="str">
        <x:v>Desk Lamp</x:v>
      </x:c>
      <x:c r="D24" t="str">
        <x:v>Home</x:v>
      </x:c>
      <x:c r="E24" t="n">
        <x:v>4</x:v>
      </x:c>
      <x:c r="F24" s="26" t="n">
        <x:v>44</x:v>
      </x:c>
      <x:c r="G24" s="26" t="n">
        <x:v>22</x:v>
      </x:c>
      <x:c r="H24" t="str">
        <x:v>Completed</x:v>
      </x:c>
      <x:c r="I24" s="28" t="str">
        <x:f>IF($A24="","",IF(ISNUMBER($B24),TEXT($B24,"yyyy-mm"),LEFT($B24,7)))</x:f>
        <x:v>2026-07</x:v>
      </x:c>
      <x:c r="J24" s="29" t="n">
        <x:f>IF($A24="","",IF($H24="Completed",$E24*$F24,0))</x:f>
        <x:v>176</x:v>
      </x:c>
      <x:c r="K24" s="29" t="n">
        <x:f>IF($A24="","",IF($H24="Completed",$E24*$G24,0))</x:f>
        <x:v>88</x:v>
      </x:c>
      <x:c r="L24" s="29" t="n">
        <x:f>IF($A24="","",J24-K24)</x:f>
        <x:v>88</x:v>
      </x:c>
    </x:row>
    <x:row r="25">
      <x:c r="A25" t="str">
        <x:v>ORD-0112</x:v>
      </x:c>
      <x:c r="B25" t="str">
        <x:v>2026-07-23</x:v>
      </x:c>
      <x:c r="C25" t="str">
        <x:v>Desk Lamp</x:v>
      </x:c>
      <x:c r="D25" t="str">
        <x:v>Home</x:v>
      </x:c>
      <x:c r="E25" t="n">
        <x:v>1</x:v>
      </x:c>
      <x:c r="F25" s="26" t="n">
        <x:v>44</x:v>
      </x:c>
      <x:c r="G25" s="26" t="n">
        <x:v>22</x:v>
      </x:c>
      <x:c r="H25" t="str">
        <x:v>Completed</x:v>
      </x:c>
      <x:c r="I25" s="28" t="str">
        <x:f>IF($A25="","",IF(ISNUMBER($B25),TEXT($B25,"yyyy-mm"),LEFT($B25,7)))</x:f>
        <x:v>2026-07</x:v>
      </x:c>
      <x:c r="J25" s="29" t="n">
        <x:f>IF($A25="","",IF($H25="Completed",$E25*$F25,0))</x:f>
        <x:v>44</x:v>
      </x:c>
      <x:c r="K25" s="29" t="n">
        <x:f>IF($A25="","",IF($H25="Completed",$E25*$G25,0))</x:f>
        <x:v>22</x:v>
      </x:c>
      <x:c r="L25" s="29" t="n">
        <x:f>IF($A25="","",J25-K25)</x:f>
        <x:v>22</x:v>
      </x:c>
    </x:row>
    <x:row r="26">
      <x:c r="A26" t="str">
        <x:v>ORD-0060</x:v>
      </x:c>
      <x:c r="B26" t="str">
        <x:v>2026-07-24</x:v>
      </x:c>
      <x:c r="C26" t="str">
        <x:v>Ceramic Mug</x:v>
      </x:c>
      <x:c r="D26" t="str">
        <x:v>Home</x:v>
      </x:c>
      <x:c r="E26" t="n">
        <x:v>3</x:v>
      </x:c>
      <x:c r="F26" s="26" t="n">
        <x:v>22</x:v>
      </x:c>
      <x:c r="G26" s="26" t="n">
        <x:v>8.4</x:v>
      </x:c>
      <x:c r="H26" t="str">
        <x:v>Completed</x:v>
      </x:c>
      <x:c r="I26" s="28" t="str">
        <x:f>IF($A26="","",IF(ISNUMBER($B26),TEXT($B26,"yyyy-mm"),LEFT($B26,7)))</x:f>
        <x:v>2026-07</x:v>
      </x:c>
      <x:c r="J26" s="29" t="n">
        <x:f>IF($A26="","",IF($H26="Completed",$E26*$F26,0))</x:f>
        <x:v>66</x:v>
      </x:c>
      <x:c r="K26" s="29" t="n">
        <x:f>IF($A26="","",IF($H26="Completed",$E26*$G26,0))</x:f>
        <x:v>25.200000000000003</x:v>
      </x:c>
      <x:c r="L26" s="29" t="n">
        <x:f>IF($A26="","",J26-K26)</x:f>
        <x:v>40.8</x:v>
      </x:c>
    </x:row>
    <x:row r="27">
      <x:c r="A27" t="str">
        <x:v>ORD-0054</x:v>
      </x:c>
      <x:c r="B27" t="str">
        <x:v>2026-07-26</x:v>
      </x:c>
      <x:c r="C27" t="str">
        <x:v>Notebook</x:v>
      </x:c>
      <x:c r="D27" t="str">
        <x:v>Stationery</x:v>
      </x:c>
      <x:c r="E27" t="n">
        <x:v>4</x:v>
      </x:c>
      <x:c r="F27" s="26" t="n">
        <x:v>12</x:v>
      </x:c>
      <x:c r="G27" s="26" t="n">
        <x:v>4.1</x:v>
      </x:c>
      <x:c r="H27" t="str">
        <x:v>Completed</x:v>
      </x:c>
      <x:c r="I27" s="28" t="str">
        <x:f>IF($A27="","",IF(ISNUMBER($B27),TEXT($B27,"yyyy-mm"),LEFT($B27,7)))</x:f>
        <x:v>2026-07</x:v>
      </x:c>
      <x:c r="J27" s="29" t="n">
        <x:f>IF($A27="","",IF($H27="Completed",$E27*$F27,0))</x:f>
        <x:v>48</x:v>
      </x:c>
      <x:c r="K27" s="29" t="n">
        <x:f>IF($A27="","",IF($H27="Completed",$E27*$G27,0))</x:f>
        <x:v>16.4</x:v>
      </x:c>
      <x:c r="L27" s="29" t="n">
        <x:f>IF($A27="","",J27-K27)</x:f>
        <x:v>31.6</x:v>
      </x:c>
    </x:row>
    <x:row r="28">
      <x:c r="A28" t="str">
        <x:v>ORD-0019</x:v>
      </x:c>
      <x:c r="B28" t="str">
        <x:v>2026-07-27</x:v>
      </x:c>
      <x:c r="C28" t="str">
        <x:v>Planner</x:v>
      </x:c>
      <x:c r="D28" t="str">
        <x:v>Stationery</x:v>
      </x:c>
      <x:c r="E28" t="n">
        <x:v>1</x:v>
      </x:c>
      <x:c r="F28" s="26" t="n">
        <x:v>21</x:v>
      </x:c>
      <x:c r="G28" s="26" t="n">
        <x:v>7.9</x:v>
      </x:c>
      <x:c r="H28" t="str">
        <x:v>Completed</x:v>
      </x:c>
      <x:c r="I28" s="28" t="str">
        <x:f>IF($A28="","",IF(ISNUMBER($B28),TEXT($B28,"yyyy-mm"),LEFT($B28,7)))</x:f>
        <x:v>2026-07</x:v>
      </x:c>
      <x:c r="J28" s="29" t="n">
        <x:f>IF($A28="","",IF($H28="Completed",$E28*$F28,0))</x:f>
        <x:v>21</x:v>
      </x:c>
      <x:c r="K28" s="29" t="n">
        <x:f>IF($A28="","",IF($H28="Completed",$E28*$G28,0))</x:f>
        <x:v>7.9</x:v>
      </x:c>
      <x:c r="L28" s="29" t="n">
        <x:f>IF($A28="","",J28-K28)</x:f>
        <x:v>13.1</x:v>
      </x:c>
    </x:row>
    <x:row r="29">
      <x:c r="A29" t="str">
        <x:v>ORD-0026</x:v>
      </x:c>
      <x:c r="B29" t="str">
        <x:v>2026-07-28</x:v>
      </x:c>
      <x:c r="C29" t="str">
        <x:v>Ceramic Mug</x:v>
      </x:c>
      <x:c r="D29" t="str">
        <x:v>Home</x:v>
      </x:c>
      <x:c r="E29" t="n">
        <x:v>1</x:v>
      </x:c>
      <x:c r="F29" s="26" t="n">
        <x:v>22</x:v>
      </x:c>
      <x:c r="G29" s="26" t="n">
        <x:v>8.4</x:v>
      </x:c>
      <x:c r="H29" t="str">
        <x:v>Completed</x:v>
      </x:c>
      <x:c r="I29" s="28" t="str">
        <x:f>IF($A29="","",IF(ISNUMBER($B29),TEXT($B29,"yyyy-mm"),LEFT($B29,7)))</x:f>
        <x:v>2026-07</x:v>
      </x:c>
      <x:c r="J29" s="29" t="n">
        <x:f>IF($A29="","",IF($H29="Completed",$E29*$F29,0))</x:f>
        <x:v>22</x:v>
      </x:c>
      <x:c r="K29" s="29" t="n">
        <x:f>IF($A29="","",IF($H29="Completed",$E29*$G29,0))</x:f>
        <x:v>8.4</x:v>
      </x:c>
      <x:c r="L29" s="29" t="n">
        <x:f>IF($A29="","",J29-K29)</x:f>
        <x:v>13.6</x:v>
      </x:c>
    </x:row>
    <x:row r="30">
      <x:c r="A30" t="str">
        <x:v>ORD-0024</x:v>
      </x:c>
      <x:c r="B30" t="str">
        <x:v>2026-08-01</x:v>
      </x:c>
      <x:c r="C30" t="str">
        <x:v>Ceramic Mug</x:v>
      </x:c>
      <x:c r="D30" t="str">
        <x:v>Home</x:v>
      </x:c>
      <x:c r="E30" t="n">
        <x:v>3</x:v>
      </x:c>
      <x:c r="F30" s="26" t="n">
        <x:v>22</x:v>
      </x:c>
      <x:c r="G30" s="26" t="n">
        <x:v>8.4</x:v>
      </x:c>
      <x:c r="H30" t="str">
        <x:v>Cancelled</x:v>
      </x:c>
      <x:c r="I30" s="28" t="str">
        <x:f>IF($A30="","",IF(ISNUMBER($B30),TEXT($B30,"yyyy-mm"),LEFT($B30,7)))</x:f>
        <x:v>2026-08</x:v>
      </x:c>
      <x:c r="J30" s="29" t="n">
        <x:f>IF($A30="","",IF($H30="Completed",$E30*$F30,0))</x:f>
        <x:v>0</x:v>
      </x:c>
      <x:c r="K30" s="29" t="n">
        <x:f>IF($A30="","",IF($H30="Completed",$E30*$G30,0))</x:f>
        <x:v>0</x:v>
      </x:c>
      <x:c r="L30" s="29" t="n">
        <x:f>IF($A30="","",J30-K30)</x:f>
        <x:v>0</x:v>
      </x:c>
    </x:row>
    <x:row r="31">
      <x:c r="A31" t="str">
        <x:v>ORD-0128</x:v>
      </x:c>
      <x:c r="B31" t="str">
        <x:v>2026-08-01</x:v>
      </x:c>
      <x:c r="C31" t="str">
        <x:v>Planner</x:v>
      </x:c>
      <x:c r="D31" t="str">
        <x:v>Stationery</x:v>
      </x:c>
      <x:c r="E31" t="n">
        <x:v>1</x:v>
      </x:c>
      <x:c r="F31" s="26" t="n">
        <x:v>21</x:v>
      </x:c>
      <x:c r="G31" s="26" t="n">
        <x:v>7.9</x:v>
      </x:c>
      <x:c r="H31" t="str">
        <x:v>Completed</x:v>
      </x:c>
      <x:c r="I31" s="28" t="str">
        <x:f>IF($A31="","",IF(ISNUMBER($B31),TEXT($B31,"yyyy-mm"),LEFT($B31,7)))</x:f>
        <x:v>2026-08</x:v>
      </x:c>
      <x:c r="J31" s="29" t="n">
        <x:f>IF($A31="","",IF($H31="Completed",$E31*$F31,0))</x:f>
        <x:v>21</x:v>
      </x:c>
      <x:c r="K31" s="29" t="n">
        <x:f>IF($A31="","",IF($H31="Completed",$E31*$G31,0))</x:f>
        <x:v>7.9</x:v>
      </x:c>
      <x:c r="L31" s="29" t="n">
        <x:f>IF($A31="","",J31-K31)</x:f>
        <x:v>13.1</x:v>
      </x:c>
    </x:row>
    <x:row r="32">
      <x:c r="A32" t="str">
        <x:v>ORD-0009</x:v>
      </x:c>
      <x:c r="B32" t="str">
        <x:v>2026-08-02</x:v>
      </x:c>
      <x:c r="C32" t="str">
        <x:v>Canvas Tote</x:v>
      </x:c>
      <x:c r="D32" t="str">
        <x:v>Accessories</x:v>
      </x:c>
      <x:c r="E32" t="n">
        <x:v>1</x:v>
      </x:c>
      <x:c r="F32" s="26" t="n">
        <x:v>18</x:v>
      </x:c>
      <x:c r="G32" s="26" t="n">
        <x:v>6.3</x:v>
      </x:c>
      <x:c r="H32" t="str">
        <x:v>Refunded</x:v>
      </x:c>
      <x:c r="I32" s="28" t="str">
        <x:f>IF($A32="","",IF(ISNUMBER($B32),TEXT($B32,"yyyy-mm"),LEFT($B32,7)))</x:f>
        <x:v>2026-08</x:v>
      </x:c>
      <x:c r="J32" s="29" t="n">
        <x:f>IF($A32="","",IF($H32="Completed",$E32*$F32,0))</x:f>
        <x:v>0</x:v>
      </x:c>
      <x:c r="K32" s="29" t="n">
        <x:f>IF($A32="","",IF($H32="Completed",$E32*$G32,0))</x:f>
        <x:v>0</x:v>
      </x:c>
      <x:c r="L32" s="29" t="n">
        <x:f>IF($A32="","",J32-K32)</x:f>
        <x:v>0</x:v>
      </x:c>
    </x:row>
    <x:row r="33">
      <x:c r="A33" t="str">
        <x:v>ORD-0030</x:v>
      </x:c>
      <x:c r="B33" t="str">
        <x:v>2026-08-02</x:v>
      </x:c>
      <x:c r="C33" t="str">
        <x:v>Canvas Tote</x:v>
      </x:c>
      <x:c r="D33" t="str">
        <x:v>Accessories</x:v>
      </x:c>
      <x:c r="E33" t="n">
        <x:v>4</x:v>
      </x:c>
      <x:c r="F33" s="26" t="n">
        <x:v>18</x:v>
      </x:c>
      <x:c r="G33" s="26" t="n">
        <x:v>6.3</x:v>
      </x:c>
      <x:c r="H33" t="str">
        <x:v>Refunded</x:v>
      </x:c>
      <x:c r="I33" s="28" t="str">
        <x:f>IF($A33="","",IF(ISNUMBER($B33),TEXT($B33,"yyyy-mm"),LEFT($B33,7)))</x:f>
        <x:v>2026-08</x:v>
      </x:c>
      <x:c r="J33" s="29" t="n">
        <x:f>IF($A33="","",IF($H33="Completed",$E33*$F33,0))</x:f>
        <x:v>0</x:v>
      </x:c>
      <x:c r="K33" s="29" t="n">
        <x:f>IF($A33="","",IF($H33="Completed",$E33*$G33,0))</x:f>
        <x:v>0</x:v>
      </x:c>
      <x:c r="L33" s="29" t="n">
        <x:f>IF($A33="","",J33-K33)</x:f>
        <x:v>0</x:v>
      </x:c>
    </x:row>
    <x:row r="34">
      <x:c r="A34" t="str">
        <x:v>ORD-0116</x:v>
      </x:c>
      <x:c r="B34" t="str">
        <x:v>2026-08-03</x:v>
      </x:c>
      <x:c r="C34" t="str">
        <x:v>Desk Lamp</x:v>
      </x:c>
      <x:c r="D34" t="str">
        <x:v>Home</x:v>
      </x:c>
      <x:c r="E34" t="n">
        <x:v>1</x:v>
      </x:c>
      <x:c r="F34" s="26" t="n">
        <x:v>44</x:v>
      </x:c>
      <x:c r="G34" s="26" t="n">
        <x:v>22</x:v>
      </x:c>
      <x:c r="H34" t="str">
        <x:v>Completed</x:v>
      </x:c>
      <x:c r="I34" s="28" t="str">
        <x:f>IF($A34="","",IF(ISNUMBER($B34),TEXT($B34,"yyyy-mm"),LEFT($B34,7)))</x:f>
        <x:v>2026-08</x:v>
      </x:c>
      <x:c r="J34" s="29" t="n">
        <x:f>IF($A34="","",IF($H34="Completed",$E34*$F34,0))</x:f>
        <x:v>44</x:v>
      </x:c>
      <x:c r="K34" s="29" t="n">
        <x:f>IF($A34="","",IF($H34="Completed",$E34*$G34,0))</x:f>
        <x:v>22</x:v>
      </x:c>
      <x:c r="L34" s="29" t="n">
        <x:f>IF($A34="","",J34-K34)</x:f>
        <x:v>22</x:v>
      </x:c>
    </x:row>
    <x:row r="35">
      <x:c r="A35" t="str">
        <x:v>ORD-0071</x:v>
      </x:c>
      <x:c r="B35" t="str">
        <x:v>2026-08-04</x:v>
      </x:c>
      <x:c r="C35" t="str">
        <x:v>Desk Lamp</x:v>
      </x:c>
      <x:c r="D35" t="str">
        <x:v>Home</x:v>
      </x:c>
      <x:c r="E35" t="n">
        <x:v>2</x:v>
      </x:c>
      <x:c r="F35" s="26" t="n">
        <x:v>44</x:v>
      </x:c>
      <x:c r="G35" s="26" t="n">
        <x:v>22</x:v>
      </x:c>
      <x:c r="H35" t="str">
        <x:v>Completed</x:v>
      </x:c>
      <x:c r="I35" s="28" t="str">
        <x:f>IF($A35="","",IF(ISNUMBER($B35),TEXT($B35,"yyyy-mm"),LEFT($B35,7)))</x:f>
        <x:v>2026-08</x:v>
      </x:c>
      <x:c r="J35" s="29" t="n">
        <x:f>IF($A35="","",IF($H35="Completed",$E35*$F35,0))</x:f>
        <x:v>88</x:v>
      </x:c>
      <x:c r="K35" s="29" t="n">
        <x:f>IF($A35="","",IF($H35="Completed",$E35*$G35,0))</x:f>
        <x:v>44</x:v>
      </x:c>
      <x:c r="L35" s="29" t="n">
        <x:f>IF($A35="","",J35-K35)</x:f>
        <x:v>44</x:v>
      </x:c>
    </x:row>
    <x:row r="36">
      <x:c r="A36" t="str">
        <x:v>ORD-0058</x:v>
      </x:c>
      <x:c r="B36" t="str">
        <x:v>2026-08-05</x:v>
      </x:c>
      <x:c r="C36" t="str">
        <x:v>Water Bottle</x:v>
      </x:c>
      <x:c r="D36" t="str">
        <x:v>Accessories</x:v>
      </x:c>
      <x:c r="E36" t="n">
        <x:v>2</x:v>
      </x:c>
      <x:c r="F36" s="26" t="n">
        <x:v>24</x:v>
      </x:c>
      <x:c r="G36" s="26" t="n">
        <x:v>9.2</x:v>
      </x:c>
      <x:c r="H36" t="str">
        <x:v>Completed</x:v>
      </x:c>
      <x:c r="I36" s="28" t="str">
        <x:f>IF($A36="","",IF(ISNUMBER($B36),TEXT($B36,"yyyy-mm"),LEFT($B36,7)))</x:f>
        <x:v>2026-08</x:v>
      </x:c>
      <x:c r="J36" s="29" t="n">
        <x:f>IF($A36="","",IF($H36="Completed",$E36*$F36,0))</x:f>
        <x:v>48</x:v>
      </x:c>
      <x:c r="K36" s="29" t="n">
        <x:f>IF($A36="","",IF($H36="Completed",$E36*$G36,0))</x:f>
        <x:v>18.4</x:v>
      </x:c>
      <x:c r="L36" s="29" t="n">
        <x:f>IF($A36="","",J36-K36)</x:f>
        <x:v>29.6</x:v>
      </x:c>
    </x:row>
    <x:row r="37">
      <x:c r="A37" t="str">
        <x:v>ORD-0125</x:v>
      </x:c>
      <x:c r="B37" t="str">
        <x:v>2026-08-05</x:v>
      </x:c>
      <x:c r="C37" t="str">
        <x:v>Phone Stand</x:v>
      </x:c>
      <x:c r="D37" t="str">
        <x:v>Accessories</x:v>
      </x:c>
      <x:c r="E37" t="n">
        <x:v>3</x:v>
      </x:c>
      <x:c r="F37" s="26" t="n">
        <x:v>28</x:v>
      </x:c>
      <x:c r="G37" s="26" t="n">
        <x:v>11.7</x:v>
      </x:c>
      <x:c r="H37" t="str">
        <x:v>Refunded</x:v>
      </x:c>
      <x:c r="I37" s="28" t="str">
        <x:f>IF($A37="","",IF(ISNUMBER($B37),TEXT($B37,"yyyy-mm"),LEFT($B37,7)))</x:f>
        <x:v>2026-08</x:v>
      </x:c>
      <x:c r="J37" s="29" t="n">
        <x:f>IF($A37="","",IF($H37="Completed",$E37*$F37,0))</x:f>
        <x:v>0</x:v>
      </x:c>
      <x:c r="K37" s="29" t="n">
        <x:f>IF($A37="","",IF($H37="Completed",$E37*$G37,0))</x:f>
        <x:v>0</x:v>
      </x:c>
      <x:c r="L37" s="29" t="n">
        <x:f>IF($A37="","",J37-K37)</x:f>
        <x:v>0</x:v>
      </x:c>
    </x:row>
    <x:row r="38">
      <x:c r="A38" t="str">
        <x:v>ORD-0011</x:v>
      </x:c>
      <x:c r="B38" t="str">
        <x:v>2026-08-06</x:v>
      </x:c>
      <x:c r="C38" t="str">
        <x:v>Canvas Tote</x:v>
      </x:c>
      <x:c r="D38" t="str">
        <x:v>Accessories</x:v>
      </x:c>
      <x:c r="E38" t="n">
        <x:v>1</x:v>
      </x:c>
      <x:c r="F38" s="26" t="n">
        <x:v>18</x:v>
      </x:c>
      <x:c r="G38" s="26" t="n">
        <x:v>6.3</x:v>
      </x:c>
      <x:c r="H38" t="str">
        <x:v>Completed</x:v>
      </x:c>
      <x:c r="I38" s="28" t="str">
        <x:f>IF($A38="","",IF(ISNUMBER($B38),TEXT($B38,"yyyy-mm"),LEFT($B38,7)))</x:f>
        <x:v>2026-08</x:v>
      </x:c>
      <x:c r="J38" s="29" t="n">
        <x:f>IF($A38="","",IF($H38="Completed",$E38*$F38,0))</x:f>
        <x:v>18</x:v>
      </x:c>
      <x:c r="K38" s="29" t="n">
        <x:f>IF($A38="","",IF($H38="Completed",$E38*$G38,0))</x:f>
        <x:v>6.3</x:v>
      </x:c>
      <x:c r="L38" s="29" t="n">
        <x:f>IF($A38="","",J38-K38)</x:f>
        <x:v>11.7</x:v>
      </x:c>
    </x:row>
    <x:row r="39">
      <x:c r="A39" t="str">
        <x:v>ORD-0107</x:v>
      </x:c>
      <x:c r="B39" t="str">
        <x:v>2026-08-06</x:v>
      </x:c>
      <x:c r="C39" t="str">
        <x:v>Ceramic Mug</x:v>
      </x:c>
      <x:c r="D39" t="str">
        <x:v>Home</x:v>
      </x:c>
      <x:c r="E39" t="n">
        <x:v>4</x:v>
      </x:c>
      <x:c r="F39" s="26" t="n">
        <x:v>22</x:v>
      </x:c>
      <x:c r="G39" s="26" t="n">
        <x:v>8.4</x:v>
      </x:c>
      <x:c r="H39" t="str">
        <x:v>Completed</x:v>
      </x:c>
      <x:c r="I39" s="28" t="str">
        <x:f>IF($A39="","",IF(ISNUMBER($B39),TEXT($B39,"yyyy-mm"),LEFT($B39,7)))</x:f>
        <x:v>2026-08</x:v>
      </x:c>
      <x:c r="J39" s="29" t="n">
        <x:f>IF($A39="","",IF($H39="Completed",$E39*$F39,0))</x:f>
        <x:v>88</x:v>
      </x:c>
      <x:c r="K39" s="29" t="n">
        <x:f>IF($A39="","",IF($H39="Completed",$E39*$G39,0))</x:f>
        <x:v>33.6</x:v>
      </x:c>
      <x:c r="L39" s="29" t="n">
        <x:f>IF($A39="","",J39-K39)</x:f>
        <x:v>54.4</x:v>
      </x:c>
    </x:row>
    <x:row r="40">
      <x:c r="A40" t="str">
        <x:v>ORD-0064</x:v>
      </x:c>
      <x:c r="B40" t="str">
        <x:v>2026-08-07</x:v>
      </x:c>
      <x:c r="C40" t="str">
        <x:v>Planner</x:v>
      </x:c>
      <x:c r="D40" t="str">
        <x:v>Stationery</x:v>
      </x:c>
      <x:c r="E40" t="n">
        <x:v>3</x:v>
      </x:c>
      <x:c r="F40" s="26" t="n">
        <x:v>21</x:v>
      </x:c>
      <x:c r="G40" s="26" t="n">
        <x:v>7.9</x:v>
      </x:c>
      <x:c r="H40" t="str">
        <x:v>Completed</x:v>
      </x:c>
      <x:c r="I40" s="28" t="str">
        <x:f>IF($A40="","",IF(ISNUMBER($B40),TEXT($B40,"yyyy-mm"),LEFT($B40,7)))</x:f>
        <x:v>2026-08</x:v>
      </x:c>
      <x:c r="J40" s="29" t="n">
        <x:f>IF($A40="","",IF($H40="Completed",$E40*$F40,0))</x:f>
        <x:v>63</x:v>
      </x:c>
      <x:c r="K40" s="29" t="n">
        <x:f>IF($A40="","",IF($H40="Completed",$E40*$G40,0))</x:f>
        <x:v>23.700000000000003</x:v>
      </x:c>
      <x:c r="L40" s="29" t="n">
        <x:f>IF($A40="","",J40-K40)</x:f>
        <x:v>39.3</x:v>
      </x:c>
    </x:row>
    <x:row r="41">
      <x:c r="A41" t="str">
        <x:v>ORD-0099</x:v>
      </x:c>
      <x:c r="B41" t="str">
        <x:v>2026-08-07</x:v>
      </x:c>
      <x:c r="C41" t="str">
        <x:v>Water Bottle</x:v>
      </x:c>
      <x:c r="D41" t="str">
        <x:v>Accessories</x:v>
      </x:c>
      <x:c r="E41" t="n">
        <x:v>3</x:v>
      </x:c>
      <x:c r="F41" s="26" t="n">
        <x:v>24</x:v>
      </x:c>
      <x:c r="G41" s="26" t="n">
        <x:v>9.2</x:v>
      </x:c>
      <x:c r="H41" t="str">
        <x:v>Refunded</x:v>
      </x:c>
      <x:c r="I41" s="28" t="str">
        <x:f>IF($A41="","",IF(ISNUMBER($B41),TEXT($B41,"yyyy-mm"),LEFT($B41,7)))</x:f>
        <x:v>2026-08</x:v>
      </x:c>
      <x:c r="J41" s="29" t="n">
        <x:f>IF($A41="","",IF($H41="Completed",$E41*$F41,0))</x:f>
        <x:v>0</x:v>
      </x:c>
      <x:c r="K41" s="29" t="n">
        <x:f>IF($A41="","",IF($H41="Completed",$E41*$G41,0))</x:f>
        <x:v>0</x:v>
      </x:c>
      <x:c r="L41" s="29" t="n">
        <x:f>IF($A41="","",J41-K41)</x:f>
        <x:v>0</x:v>
      </x:c>
    </x:row>
    <x:row r="42">
      <x:c r="A42" t="str">
        <x:v>ORD-0028</x:v>
      </x:c>
      <x:c r="B42" t="str">
        <x:v>2026-08-08</x:v>
      </x:c>
      <x:c r="C42" t="str">
        <x:v>Ceramic Mug</x:v>
      </x:c>
      <x:c r="D42" t="str">
        <x:v>Home</x:v>
      </x:c>
      <x:c r="E42" t="n">
        <x:v>4</x:v>
      </x:c>
      <x:c r="F42" s="26" t="n">
        <x:v>22</x:v>
      </x:c>
      <x:c r="G42" s="26" t="n">
        <x:v>8.4</x:v>
      </x:c>
      <x:c r="H42" t="str">
        <x:v>Completed</x:v>
      </x:c>
      <x:c r="I42" s="28" t="str">
        <x:f>IF($A42="","",IF(ISNUMBER($B42),TEXT($B42,"yyyy-mm"),LEFT($B42,7)))</x:f>
        <x:v>2026-08</x:v>
      </x:c>
      <x:c r="J42" s="29" t="n">
        <x:f>IF($A42="","",IF($H42="Completed",$E42*$F42,0))</x:f>
        <x:v>88</x:v>
      </x:c>
      <x:c r="K42" s="29" t="n">
        <x:f>IF($A42="","",IF($H42="Completed",$E42*$G42,0))</x:f>
        <x:v>33.6</x:v>
      </x:c>
      <x:c r="L42" s="29" t="n">
        <x:f>IF($A42="","",J42-K42)</x:f>
        <x:v>54.4</x:v>
      </x:c>
    </x:row>
    <x:row r="43">
      <x:c r="A43" t="str">
        <x:v>ORD-0044</x:v>
      </x:c>
      <x:c r="B43" t="str">
        <x:v>2026-08-08</x:v>
      </x:c>
      <x:c r="C43" t="str">
        <x:v>Planner</x:v>
      </x:c>
      <x:c r="D43" t="str">
        <x:v>Stationery</x:v>
      </x:c>
      <x:c r="E43" t="n">
        <x:v>1</x:v>
      </x:c>
      <x:c r="F43" s="26" t="n">
        <x:v>21</x:v>
      </x:c>
      <x:c r="G43" s="26" t="n">
        <x:v>7.9</x:v>
      </x:c>
      <x:c r="H43" t="str">
        <x:v>Completed</x:v>
      </x:c>
      <x:c r="I43" s="28" t="str">
        <x:f>IF($A43="","",IF(ISNUMBER($B43),TEXT($B43,"yyyy-mm"),LEFT($B43,7)))</x:f>
        <x:v>2026-08</x:v>
      </x:c>
      <x:c r="J43" s="29" t="n">
        <x:f>IF($A43="","",IF($H43="Completed",$E43*$F43,0))</x:f>
        <x:v>21</x:v>
      </x:c>
      <x:c r="K43" s="29" t="n">
        <x:f>IF($A43="","",IF($H43="Completed",$E43*$G43,0))</x:f>
        <x:v>7.9</x:v>
      </x:c>
      <x:c r="L43" s="29" t="n">
        <x:f>IF($A43="","",J43-K43)</x:f>
        <x:v>13.1</x:v>
      </x:c>
    </x:row>
    <x:row r="44">
      <x:c r="A44" t="str">
        <x:v>ORD-0072</x:v>
      </x:c>
      <x:c r="B44" t="str">
        <x:v>2026-08-08</x:v>
      </x:c>
      <x:c r="C44" t="str">
        <x:v>Desk Lamp</x:v>
      </x:c>
      <x:c r="D44" t="str">
        <x:v>Home</x:v>
      </x:c>
      <x:c r="E44" t="n">
        <x:v>2</x:v>
      </x:c>
      <x:c r="F44" s="26" t="n">
        <x:v>44</x:v>
      </x:c>
      <x:c r="G44" s="26" t="n">
        <x:v>22</x:v>
      </x:c>
      <x:c r="H44" t="str">
        <x:v>Completed</x:v>
      </x:c>
      <x:c r="I44" s="28" t="str">
        <x:f>IF($A44="","",IF(ISNUMBER($B44),TEXT($B44,"yyyy-mm"),LEFT($B44,7)))</x:f>
        <x:v>2026-08</x:v>
      </x:c>
      <x:c r="J44" s="29" t="n">
        <x:f>IF($A44="","",IF($H44="Completed",$E44*$F44,0))</x:f>
        <x:v>88</x:v>
      </x:c>
      <x:c r="K44" s="29" t="n">
        <x:f>IF($A44="","",IF($H44="Completed",$E44*$G44,0))</x:f>
        <x:v>44</x:v>
      </x:c>
      <x:c r="L44" s="29" t="n">
        <x:f>IF($A44="","",J44-K44)</x:f>
        <x:v>44</x:v>
      </x:c>
    </x:row>
    <x:row r="45">
      <x:c r="A45" t="str">
        <x:v>ORD-0102</x:v>
      </x:c>
      <x:c r="B45" t="str">
        <x:v>2026-08-08</x:v>
      </x:c>
      <x:c r="C45" t="str">
        <x:v>Canvas Tote</x:v>
      </x:c>
      <x:c r="D45" t="str">
        <x:v>Accessories</x:v>
      </x:c>
      <x:c r="E45" t="n">
        <x:v>2</x:v>
      </x:c>
      <x:c r="F45" s="26" t="n">
        <x:v>18</x:v>
      </x:c>
      <x:c r="G45" s="26" t="n">
        <x:v>6.3</x:v>
      </x:c>
      <x:c r="H45" t="str">
        <x:v>Completed</x:v>
      </x:c>
      <x:c r="I45" s="28" t="str">
        <x:f>IF($A45="","",IF(ISNUMBER($B45),TEXT($B45,"yyyy-mm"),LEFT($B45,7)))</x:f>
        <x:v>2026-08</x:v>
      </x:c>
      <x:c r="J45" s="29" t="n">
        <x:f>IF($A45="","",IF($H45="Completed",$E45*$F45,0))</x:f>
        <x:v>36</x:v>
      </x:c>
      <x:c r="K45" s="29" t="n">
        <x:f>IF($A45="","",IF($H45="Completed",$E45*$G45,0))</x:f>
        <x:v>12.6</x:v>
      </x:c>
      <x:c r="L45" s="29" t="n">
        <x:f>IF($A45="","",J45-K45)</x:f>
        <x:v>23.4</x:v>
      </x:c>
    </x:row>
    <x:row r="46">
      <x:c r="A46" t="str">
        <x:v>ORD-0012</x:v>
      </x:c>
      <x:c r="B46" t="str">
        <x:v>2026-08-09</x:v>
      </x:c>
      <x:c r="C46" t="str">
        <x:v>Pen Set</x:v>
      </x:c>
      <x:c r="D46" t="str">
        <x:v>Stationery</x:v>
      </x:c>
      <x:c r="E46" t="n">
        <x:v>1</x:v>
      </x:c>
      <x:c r="F46" s="26" t="n">
        <x:v>15</x:v>
      </x:c>
      <x:c r="G46" s="26" t="n">
        <x:v>5</x:v>
      </x:c>
      <x:c r="H46" t="str">
        <x:v>Completed</x:v>
      </x:c>
      <x:c r="I46" s="28" t="str">
        <x:f>IF($A46="","",IF(ISNUMBER($B46),TEXT($B46,"yyyy-mm"),LEFT($B46,7)))</x:f>
        <x:v>2026-08</x:v>
      </x:c>
      <x:c r="J46" s="29" t="n">
        <x:f>IF($A46="","",IF($H46="Completed",$E46*$F46,0))</x:f>
        <x:v>15</x:v>
      </x:c>
      <x:c r="K46" s="29" t="n">
        <x:f>IF($A46="","",IF($H46="Completed",$E46*$G46,0))</x:f>
        <x:v>5</x:v>
      </x:c>
      <x:c r="L46" s="29" t="n">
        <x:f>IF($A46="","",J46-K46)</x:f>
        <x:v>10</x:v>
      </x:c>
    </x:row>
    <x:row r="47">
      <x:c r="A47" t="str">
        <x:v>ORD-0017</x:v>
      </x:c>
      <x:c r="B47" t="str">
        <x:v>2026-08-09</x:v>
      </x:c>
      <x:c r="C47" t="str">
        <x:v>Ceramic Mug</x:v>
      </x:c>
      <x:c r="D47" t="str">
        <x:v>Home</x:v>
      </x:c>
      <x:c r="E47" t="n">
        <x:v>3</x:v>
      </x:c>
      <x:c r="F47" s="26" t="n">
        <x:v>22</x:v>
      </x:c>
      <x:c r="G47" s="26" t="n">
        <x:v>8.4</x:v>
      </x:c>
      <x:c r="H47" t="str">
        <x:v>Completed</x:v>
      </x:c>
      <x:c r="I47" s="28" t="str">
        <x:f>IF($A47="","",IF(ISNUMBER($B47),TEXT($B47,"yyyy-mm"),LEFT($B47,7)))</x:f>
        <x:v>2026-08</x:v>
      </x:c>
      <x:c r="J47" s="29" t="n">
        <x:f>IF($A47="","",IF($H47="Completed",$E47*$F47,0))</x:f>
        <x:v>66</x:v>
      </x:c>
      <x:c r="K47" s="29" t="n">
        <x:f>IF($A47="","",IF($H47="Completed",$E47*$G47,0))</x:f>
        <x:v>25.200000000000003</x:v>
      </x:c>
      <x:c r="L47" s="29" t="n">
        <x:f>IF($A47="","",J47-K47)</x:f>
        <x:v>40.8</x:v>
      </x:c>
    </x:row>
    <x:row r="48">
      <x:c r="A48" t="str">
        <x:v>ORD-0050</x:v>
      </x:c>
      <x:c r="B48" t="str">
        <x:v>2026-08-10</x:v>
      </x:c>
      <x:c r="C48" t="str">
        <x:v>Pen Set</x:v>
      </x:c>
      <x:c r="D48" t="str">
        <x:v>Stationery</x:v>
      </x:c>
      <x:c r="E48" t="n">
        <x:v>4</x:v>
      </x:c>
      <x:c r="F48" s="26" t="n">
        <x:v>15</x:v>
      </x:c>
      <x:c r="G48" s="26" t="n">
        <x:v>5</x:v>
      </x:c>
      <x:c r="H48" t="str">
        <x:v>Completed</x:v>
      </x:c>
      <x:c r="I48" s="28" t="str">
        <x:f>IF($A48="","",IF(ISNUMBER($B48),TEXT($B48,"yyyy-mm"),LEFT($B48,7)))</x:f>
        <x:v>2026-08</x:v>
      </x:c>
      <x:c r="J48" s="29" t="n">
        <x:f>IF($A48="","",IF($H48="Completed",$E48*$F48,0))</x:f>
        <x:v>60</x:v>
      </x:c>
      <x:c r="K48" s="29" t="n">
        <x:f>IF($A48="","",IF($H48="Completed",$E48*$G48,0))</x:f>
        <x:v>20</x:v>
      </x:c>
      <x:c r="L48" s="29" t="n">
        <x:f>IF($A48="","",J48-K48)</x:f>
        <x:v>40</x:v>
      </x:c>
    </x:row>
    <x:row r="49">
      <x:c r="A49" t="str">
        <x:v>ORD-0088</x:v>
      </x:c>
      <x:c r="B49" t="str">
        <x:v>2026-08-12</x:v>
      </x:c>
      <x:c r="C49" t="str">
        <x:v>Ceramic Mug</x:v>
      </x:c>
      <x:c r="D49" t="str">
        <x:v>Home</x:v>
      </x:c>
      <x:c r="E49" t="n">
        <x:v>1</x:v>
      </x:c>
      <x:c r="F49" s="26" t="n">
        <x:v>22</x:v>
      </x:c>
      <x:c r="G49" s="26" t="n">
        <x:v>8.4</x:v>
      </x:c>
      <x:c r="H49" t="str">
        <x:v>Completed</x:v>
      </x:c>
      <x:c r="I49" s="28" t="str">
        <x:f>IF($A49="","",IF(ISNUMBER($B49),TEXT($B49,"yyyy-mm"),LEFT($B49,7)))</x:f>
        <x:v>2026-08</x:v>
      </x:c>
      <x:c r="J49" s="29" t="n">
        <x:f>IF($A49="","",IF($H49="Completed",$E49*$F49,0))</x:f>
        <x:v>22</x:v>
      </x:c>
      <x:c r="K49" s="29" t="n">
        <x:f>IF($A49="","",IF($H49="Completed",$E49*$G49,0))</x:f>
        <x:v>8.4</x:v>
      </x:c>
      <x:c r="L49" s="29" t="n">
        <x:f>IF($A49="","",J49-K49)</x:f>
        <x:v>13.6</x:v>
      </x:c>
    </x:row>
    <x:row r="50">
      <x:c r="A50" t="str">
        <x:v>ORD-0119</x:v>
      </x:c>
      <x:c r="B50" t="str">
        <x:v>2026-08-12</x:v>
      </x:c>
      <x:c r="C50" t="str">
        <x:v>Phone Stand</x:v>
      </x:c>
      <x:c r="D50" t="str">
        <x:v>Accessories</x:v>
      </x:c>
      <x:c r="E50" t="n">
        <x:v>4</x:v>
      </x:c>
      <x:c r="F50" s="26" t="n">
        <x:v>28</x:v>
      </x:c>
      <x:c r="G50" s="26" t="n">
        <x:v>11.7</x:v>
      </x:c>
      <x:c r="H50" t="str">
        <x:v>Refunded</x:v>
      </x:c>
      <x:c r="I50" s="28" t="str">
        <x:f>IF($A50="","",IF(ISNUMBER($B50),TEXT($B50,"yyyy-mm"),LEFT($B50,7)))</x:f>
        <x:v>2026-08</x:v>
      </x:c>
      <x:c r="J50" s="29" t="n">
        <x:f>IF($A50="","",IF($H50="Completed",$E50*$F50,0))</x:f>
        <x:v>0</x:v>
      </x:c>
      <x:c r="K50" s="29" t="n">
        <x:f>IF($A50="","",IF($H50="Completed",$E50*$G50,0))</x:f>
        <x:v>0</x:v>
      </x:c>
      <x:c r="L50" s="29" t="n">
        <x:f>IF($A50="","",J50-K50)</x:f>
        <x:v>0</x:v>
      </x:c>
    </x:row>
    <x:row r="51">
      <x:c r="A51" t="str">
        <x:v>ORD-0065</x:v>
      </x:c>
      <x:c r="B51" t="str">
        <x:v>2026-08-13</x:v>
      </x:c>
      <x:c r="C51" t="str">
        <x:v>Canvas Tote</x:v>
      </x:c>
      <x:c r="D51" t="str">
        <x:v>Accessories</x:v>
      </x:c>
      <x:c r="E51" t="n">
        <x:v>1</x:v>
      </x:c>
      <x:c r="F51" s="26" t="n">
        <x:v>18</x:v>
      </x:c>
      <x:c r="G51" s="26" t="n">
        <x:v>6.3</x:v>
      </x:c>
      <x:c r="H51" t="str">
        <x:v>Completed</x:v>
      </x:c>
      <x:c r="I51" s="28" t="str">
        <x:f>IF($A51="","",IF(ISNUMBER($B51),TEXT($B51,"yyyy-mm"),LEFT($B51,7)))</x:f>
        <x:v>2026-08</x:v>
      </x:c>
      <x:c r="J51" s="29" t="n">
        <x:f>IF($A51="","",IF($H51="Completed",$E51*$F51,0))</x:f>
        <x:v>18</x:v>
      </x:c>
      <x:c r="K51" s="29" t="n">
        <x:f>IF($A51="","",IF($H51="Completed",$E51*$G51,0))</x:f>
        <x:v>6.3</x:v>
      </x:c>
      <x:c r="L51" s="29" t="n">
        <x:f>IF($A51="","",J51-K51)</x:f>
        <x:v>11.7</x:v>
      </x:c>
    </x:row>
    <x:row r="52">
      <x:c r="A52" t="str">
        <x:v>ORD-0025</x:v>
      </x:c>
      <x:c r="B52" t="str">
        <x:v>2026-08-14</x:v>
      </x:c>
      <x:c r="C52" t="str">
        <x:v>Notebook</x:v>
      </x:c>
      <x:c r="D52" t="str">
        <x:v>Stationery</x:v>
      </x:c>
      <x:c r="E52" t="n">
        <x:v>1</x:v>
      </x:c>
      <x:c r="F52" s="26" t="n">
        <x:v>12</x:v>
      </x:c>
      <x:c r="G52" s="26" t="n">
        <x:v>4.1</x:v>
      </x:c>
      <x:c r="H52" t="str">
        <x:v>Completed</x:v>
      </x:c>
      <x:c r="I52" s="28" t="str">
        <x:f>IF($A52="","",IF(ISNUMBER($B52),TEXT($B52,"yyyy-mm"),LEFT($B52,7)))</x:f>
        <x:v>2026-08</x:v>
      </x:c>
      <x:c r="J52" s="29" t="n">
        <x:f>IF($A52="","",IF($H52="Completed",$E52*$F52,0))</x:f>
        <x:v>12</x:v>
      </x:c>
      <x:c r="K52" s="29" t="n">
        <x:f>IF($A52="","",IF($H52="Completed",$E52*$G52,0))</x:f>
        <x:v>4.1</x:v>
      </x:c>
      <x:c r="L52" s="29" t="n">
        <x:f>IF($A52="","",J52-K52)</x:f>
        <x:v>7.9</x:v>
      </x:c>
    </x:row>
    <x:row r="53">
      <x:c r="A53" t="str">
        <x:v>ORD-0087</x:v>
      </x:c>
      <x:c r="B53" t="str">
        <x:v>2026-08-14</x:v>
      </x:c>
      <x:c r="C53" t="str">
        <x:v>Planner</x:v>
      </x:c>
      <x:c r="D53" t="str">
        <x:v>Stationery</x:v>
      </x:c>
      <x:c r="E53" t="n">
        <x:v>1</x:v>
      </x:c>
      <x:c r="F53" s="26" t="n">
        <x:v>21</x:v>
      </x:c>
      <x:c r="G53" s="26" t="n">
        <x:v>7.9</x:v>
      </x:c>
      <x:c r="H53" t="str">
        <x:v>Completed</x:v>
      </x:c>
      <x:c r="I53" s="28" t="str">
        <x:f>IF($A53="","",IF(ISNUMBER($B53),TEXT($B53,"yyyy-mm"),LEFT($B53,7)))</x:f>
        <x:v>2026-08</x:v>
      </x:c>
      <x:c r="J53" s="29" t="n">
        <x:f>IF($A53="","",IF($H53="Completed",$E53*$F53,0))</x:f>
        <x:v>21</x:v>
      </x:c>
      <x:c r="K53" s="29" t="n">
        <x:f>IF($A53="","",IF($H53="Completed",$E53*$G53,0))</x:f>
        <x:v>7.9</x:v>
      </x:c>
      <x:c r="L53" s="29" t="n">
        <x:f>IF($A53="","",J53-K53)</x:f>
        <x:v>13.1</x:v>
      </x:c>
    </x:row>
    <x:row r="54">
      <x:c r="A54" t="str">
        <x:v>ORD-0129</x:v>
      </x:c>
      <x:c r="B54" t="str">
        <x:v>2026-08-14</x:v>
      </x:c>
      <x:c r="C54" t="str">
        <x:v>Planner</x:v>
      </x:c>
      <x:c r="D54" t="str">
        <x:v>Stationery</x:v>
      </x:c>
      <x:c r="E54" t="n">
        <x:v>4</x:v>
      </x:c>
      <x:c r="F54" s="26" t="n">
        <x:v>21</x:v>
      </x:c>
      <x:c r="G54" s="26" t="n">
        <x:v>7.9</x:v>
      </x:c>
      <x:c r="H54" t="str">
        <x:v>Completed</x:v>
      </x:c>
      <x:c r="I54" s="28" t="str">
        <x:f>IF($A54="","",IF(ISNUMBER($B54),TEXT($B54,"yyyy-mm"),LEFT($B54,7)))</x:f>
        <x:v>2026-08</x:v>
      </x:c>
      <x:c r="J54" s="29" t="n">
        <x:f>IF($A54="","",IF($H54="Completed",$E54*$F54,0))</x:f>
        <x:v>84</x:v>
      </x:c>
      <x:c r="K54" s="29" t="n">
        <x:f>IF($A54="","",IF($H54="Completed",$E54*$G54,0))</x:f>
        <x:v>31.6</x:v>
      </x:c>
      <x:c r="L54" s="29" t="n">
        <x:f>IF($A54="","",J54-K54)</x:f>
        <x:v>52.4</x:v>
      </x:c>
    </x:row>
    <x:row r="55">
      <x:c r="A55" t="str">
        <x:v>ORD-0073</x:v>
      </x:c>
      <x:c r="B55" t="str">
        <x:v>2026-08-15</x:v>
      </x:c>
      <x:c r="C55" t="str">
        <x:v>Ceramic Mug</x:v>
      </x:c>
      <x:c r="D55" t="str">
        <x:v>Home</x:v>
      </x:c>
      <x:c r="E55" t="n">
        <x:v>4</x:v>
      </x:c>
      <x:c r="F55" s="26" t="n">
        <x:v>22</x:v>
      </x:c>
      <x:c r="G55" s="26" t="n">
        <x:v>8.4</x:v>
      </x:c>
      <x:c r="H55" t="str">
        <x:v>Cancelled</x:v>
      </x:c>
      <x:c r="I55" s="28" t="str">
        <x:f>IF($A55="","",IF(ISNUMBER($B55),TEXT($B55,"yyyy-mm"),LEFT($B55,7)))</x:f>
        <x:v>2026-08</x:v>
      </x:c>
      <x:c r="J55" s="29" t="n">
        <x:f>IF($A55="","",IF($H55="Completed",$E55*$F55,0))</x:f>
        <x:v>0</x:v>
      </x:c>
      <x:c r="K55" s="29" t="n">
        <x:f>IF($A55="","",IF($H55="Completed",$E55*$G55,0))</x:f>
        <x:v>0</x:v>
      </x:c>
      <x:c r="L55" s="29" t="n">
        <x:f>IF($A55="","",J55-K55)</x:f>
        <x:v>0</x:v>
      </x:c>
    </x:row>
    <x:row r="56">
      <x:c r="A56" t="str">
        <x:v>ORD-0092</x:v>
      </x:c>
      <x:c r="B56" t="str">
        <x:v>2026-08-15</x:v>
      </x:c>
      <x:c r="C56" t="str">
        <x:v>Water Bottle</x:v>
      </x:c>
      <x:c r="D56" t="str">
        <x:v>Accessories</x:v>
      </x:c>
      <x:c r="E56" t="n">
        <x:v>2</x:v>
      </x:c>
      <x:c r="F56" s="26" t="n">
        <x:v>24</x:v>
      </x:c>
      <x:c r="G56" s="26" t="n">
        <x:v>9.2</x:v>
      </x:c>
      <x:c r="H56" t="str">
        <x:v>Completed</x:v>
      </x:c>
      <x:c r="I56" s="28" t="str">
        <x:f>IF($A56="","",IF(ISNUMBER($B56),TEXT($B56,"yyyy-mm"),LEFT($B56,7)))</x:f>
        <x:v>2026-08</x:v>
      </x:c>
      <x:c r="J56" s="29" t="n">
        <x:f>IF($A56="","",IF($H56="Completed",$E56*$F56,0))</x:f>
        <x:v>48</x:v>
      </x:c>
      <x:c r="K56" s="29" t="n">
        <x:f>IF($A56="","",IF($H56="Completed",$E56*$G56,0))</x:f>
        <x:v>18.4</x:v>
      </x:c>
      <x:c r="L56" s="29" t="n">
        <x:f>IF($A56="","",J56-K56)</x:f>
        <x:v>29.6</x:v>
      </x:c>
    </x:row>
    <x:row r="57">
      <x:c r="A57" t="str">
        <x:v>ORD-0098</x:v>
      </x:c>
      <x:c r="B57" t="str">
        <x:v>2026-08-16</x:v>
      </x:c>
      <x:c r="C57" t="str">
        <x:v>Desk Lamp</x:v>
      </x:c>
      <x:c r="D57" t="str">
        <x:v>Home</x:v>
      </x:c>
      <x:c r="E57" t="n">
        <x:v>3</x:v>
      </x:c>
      <x:c r="F57" s="26" t="n">
        <x:v>44</x:v>
      </x:c>
      <x:c r="G57" s="26" t="n">
        <x:v>22</x:v>
      </x:c>
      <x:c r="H57" t="str">
        <x:v>Completed</x:v>
      </x:c>
      <x:c r="I57" s="28" t="str">
        <x:f>IF($A57="","",IF(ISNUMBER($B57),TEXT($B57,"yyyy-mm"),LEFT($B57,7)))</x:f>
        <x:v>2026-08</x:v>
      </x:c>
      <x:c r="J57" s="29" t="n">
        <x:f>IF($A57="","",IF($H57="Completed",$E57*$F57,0))</x:f>
        <x:v>132</x:v>
      </x:c>
      <x:c r="K57" s="29" t="n">
        <x:f>IF($A57="","",IF($H57="Completed",$E57*$G57,0))</x:f>
        <x:v>66</x:v>
      </x:c>
      <x:c r="L57" s="29" t="n">
        <x:f>IF($A57="","",J57-K57)</x:f>
        <x:v>66</x:v>
      </x:c>
    </x:row>
    <x:row r="58">
      <x:c r="A58" t="str">
        <x:v>ORD-0074</x:v>
      </x:c>
      <x:c r="B58" t="str">
        <x:v>2026-08-17</x:v>
      </x:c>
      <x:c r="C58" t="str">
        <x:v>Planner</x:v>
      </x:c>
      <x:c r="D58" t="str">
        <x:v>Stationery</x:v>
      </x:c>
      <x:c r="E58" t="n">
        <x:v>2</x:v>
      </x:c>
      <x:c r="F58" s="26" t="n">
        <x:v>21</x:v>
      </x:c>
      <x:c r="G58" s="26" t="n">
        <x:v>7.9</x:v>
      </x:c>
      <x:c r="H58" t="str">
        <x:v>Completed</x:v>
      </x:c>
      <x:c r="I58" s="28" t="str">
        <x:f>IF($A58="","",IF(ISNUMBER($B58),TEXT($B58,"yyyy-mm"),LEFT($B58,7)))</x:f>
        <x:v>2026-08</x:v>
      </x:c>
      <x:c r="J58" s="29" t="n">
        <x:f>IF($A58="","",IF($H58="Completed",$E58*$F58,0))</x:f>
        <x:v>42</x:v>
      </x:c>
      <x:c r="K58" s="29" t="n">
        <x:f>IF($A58="","",IF($H58="Completed",$E58*$G58,0))</x:f>
        <x:v>15.8</x:v>
      </x:c>
      <x:c r="L58" s="29" t="n">
        <x:f>IF($A58="","",J58-K58)</x:f>
        <x:v>26.2</x:v>
      </x:c>
    </x:row>
    <x:row r="59">
      <x:c r="A59" t="str">
        <x:v>ORD-0059</x:v>
      </x:c>
      <x:c r="B59" t="str">
        <x:v>2026-08-18</x:v>
      </x:c>
      <x:c r="C59" t="str">
        <x:v>Phone Stand</x:v>
      </x:c>
      <x:c r="D59" t="str">
        <x:v>Accessories</x:v>
      </x:c>
      <x:c r="E59" t="n">
        <x:v>3</x:v>
      </x:c>
      <x:c r="F59" s="26" t="n">
        <x:v>28</x:v>
      </x:c>
      <x:c r="G59" s="26" t="n">
        <x:v>11.7</x:v>
      </x:c>
      <x:c r="H59" t="str">
        <x:v>Completed</x:v>
      </x:c>
      <x:c r="I59" s="28" t="str">
        <x:f>IF($A59="","",IF(ISNUMBER($B59),TEXT($B59,"yyyy-mm"),LEFT($B59,7)))</x:f>
        <x:v>2026-08</x:v>
      </x:c>
      <x:c r="J59" s="29" t="n">
        <x:f>IF($A59="","",IF($H59="Completed",$E59*$F59,0))</x:f>
        <x:v>84</x:v>
      </x:c>
      <x:c r="K59" s="29" t="n">
        <x:f>IF($A59="","",IF($H59="Completed",$E59*$G59,0))</x:f>
        <x:v>35.099999999999994</x:v>
      </x:c>
      <x:c r="L59" s="29" t="n">
        <x:f>IF($A59="","",J59-K59)</x:f>
        <x:v>48.900000000000006</x:v>
      </x:c>
    </x:row>
    <x:row r="60">
      <x:c r="A60" t="str">
        <x:v>ORD-0063</x:v>
      </x:c>
      <x:c r="B60" t="str">
        <x:v>2026-08-18</x:v>
      </x:c>
      <x:c r="C60" t="str">
        <x:v>Phone Stand</x:v>
      </x:c>
      <x:c r="D60" t="str">
        <x:v>Accessories</x:v>
      </x:c>
      <x:c r="E60" t="n">
        <x:v>2</x:v>
      </x:c>
      <x:c r="F60" s="26" t="n">
        <x:v>28</x:v>
      </x:c>
      <x:c r="G60" s="26" t="n">
        <x:v>11.7</x:v>
      </x:c>
      <x:c r="H60" t="str">
        <x:v>Completed</x:v>
      </x:c>
      <x:c r="I60" s="28" t="str">
        <x:f>IF($A60="","",IF(ISNUMBER($B60),TEXT($B60,"yyyy-mm"),LEFT($B60,7)))</x:f>
        <x:v>2026-08</x:v>
      </x:c>
      <x:c r="J60" s="29" t="n">
        <x:f>IF($A60="","",IF($H60="Completed",$E60*$F60,0))</x:f>
        <x:v>56</x:v>
      </x:c>
      <x:c r="K60" s="29" t="n">
        <x:f>IF($A60="","",IF($H60="Completed",$E60*$G60,0))</x:f>
        <x:v>23.4</x:v>
      </x:c>
      <x:c r="L60" s="29" t="n">
        <x:f>IF($A60="","",J60-K60)</x:f>
        <x:v>32.6</x:v>
      </x:c>
    </x:row>
    <x:row r="61">
      <x:c r="A61" t="str">
        <x:v>ORD-0126</x:v>
      </x:c>
      <x:c r="B61" t="str">
        <x:v>2026-08-18</x:v>
      </x:c>
      <x:c r="C61" t="str">
        <x:v>Phone Stand</x:v>
      </x:c>
      <x:c r="D61" t="str">
        <x:v>Accessories</x:v>
      </x:c>
      <x:c r="E61" t="n">
        <x:v>1</x:v>
      </x:c>
      <x:c r="F61" s="26" t="n">
        <x:v>28</x:v>
      </x:c>
      <x:c r="G61" s="26" t="n">
        <x:v>11.7</x:v>
      </x:c>
      <x:c r="H61" t="str">
        <x:v>Completed</x:v>
      </x:c>
      <x:c r="I61" s="28" t="str">
        <x:f>IF($A61="","",IF(ISNUMBER($B61),TEXT($B61,"yyyy-mm"),LEFT($B61,7)))</x:f>
        <x:v>2026-08</x:v>
      </x:c>
      <x:c r="J61" s="29" t="n">
        <x:f>IF($A61="","",IF($H61="Completed",$E61*$F61,0))</x:f>
        <x:v>28</x:v>
      </x:c>
      <x:c r="K61" s="29" t="n">
        <x:f>IF($A61="","",IF($H61="Completed",$E61*$G61,0))</x:f>
        <x:v>11.7</x:v>
      </x:c>
      <x:c r="L61" s="29" t="n">
        <x:f>IF($A61="","",J61-K61)</x:f>
        <x:v>16.3</x:v>
      </x:c>
    </x:row>
    <x:row r="62">
      <x:c r="A62" t="str">
        <x:v>ORD-0041</x:v>
      </x:c>
      <x:c r="B62" t="str">
        <x:v>2026-08-19</x:v>
      </x:c>
      <x:c r="C62" t="str">
        <x:v>Pen Set</x:v>
      </x:c>
      <x:c r="D62" t="str">
        <x:v>Stationery</x:v>
      </x:c>
      <x:c r="E62" t="n">
        <x:v>4</x:v>
      </x:c>
      <x:c r="F62" s="26" t="n">
        <x:v>15</x:v>
      </x:c>
      <x:c r="G62" s="26" t="n">
        <x:v>5</x:v>
      </x:c>
      <x:c r="H62" t="str">
        <x:v>Completed</x:v>
      </x:c>
      <x:c r="I62" s="28" t="str">
        <x:f>IF($A62="","",IF(ISNUMBER($B62),TEXT($B62,"yyyy-mm"),LEFT($B62,7)))</x:f>
        <x:v>2026-08</x:v>
      </x:c>
      <x:c r="J62" s="29" t="n">
        <x:f>IF($A62="","",IF($H62="Completed",$E62*$F62,0))</x:f>
        <x:v>60</x:v>
      </x:c>
      <x:c r="K62" s="29" t="n">
        <x:f>IF($A62="","",IF($H62="Completed",$E62*$G62,0))</x:f>
        <x:v>20</x:v>
      </x:c>
      <x:c r="L62" s="29" t="n">
        <x:f>IF($A62="","",J62-K62)</x:f>
        <x:v>40</x:v>
      </x:c>
    </x:row>
    <x:row r="63">
      <x:c r="A63" t="str">
        <x:v>ORD-0053</x:v>
      </x:c>
      <x:c r="B63" t="str">
        <x:v>2026-08-20</x:v>
      </x:c>
      <x:c r="C63" t="str">
        <x:v>Notebook</x:v>
      </x:c>
      <x:c r="D63" t="str">
        <x:v>Stationery</x:v>
      </x:c>
      <x:c r="E63" t="n">
        <x:v>4</x:v>
      </x:c>
      <x:c r="F63" s="26" t="n">
        <x:v>12</x:v>
      </x:c>
      <x:c r="G63" s="26" t="n">
        <x:v>4.1</x:v>
      </x:c>
      <x:c r="H63" t="str">
        <x:v>Completed</x:v>
      </x:c>
      <x:c r="I63" s="28" t="str">
        <x:f>IF($A63="","",IF(ISNUMBER($B63),TEXT($B63,"yyyy-mm"),LEFT($B63,7)))</x:f>
        <x:v>2026-08</x:v>
      </x:c>
      <x:c r="J63" s="29" t="n">
        <x:f>IF($A63="","",IF($H63="Completed",$E63*$F63,0))</x:f>
        <x:v>48</x:v>
      </x:c>
      <x:c r="K63" s="29" t="n">
        <x:f>IF($A63="","",IF($H63="Completed",$E63*$G63,0))</x:f>
        <x:v>16.4</x:v>
      </x:c>
      <x:c r="L63" s="29" t="n">
        <x:f>IF($A63="","",J63-K63)</x:f>
        <x:v>31.6</x:v>
      </x:c>
    </x:row>
    <x:row r="64">
      <x:c r="A64" t="str">
        <x:v>ORD-0056</x:v>
      </x:c>
      <x:c r="B64" t="str">
        <x:v>2026-08-23</x:v>
      </x:c>
      <x:c r="C64" t="str">
        <x:v>Phone Stand</x:v>
      </x:c>
      <x:c r="D64" t="str">
        <x:v>Accessories</x:v>
      </x:c>
      <x:c r="E64" t="n">
        <x:v>2</x:v>
      </x:c>
      <x:c r="F64" s="26" t="n">
        <x:v>28</x:v>
      </x:c>
      <x:c r="G64" s="26" t="n">
        <x:v>11.7</x:v>
      </x:c>
      <x:c r="H64" t="str">
        <x:v>Completed</x:v>
      </x:c>
      <x:c r="I64" s="28" t="str">
        <x:f>IF($A64="","",IF(ISNUMBER($B64),TEXT($B64,"yyyy-mm"),LEFT($B64,7)))</x:f>
        <x:v>2026-08</x:v>
      </x:c>
      <x:c r="J64" s="29" t="n">
        <x:f>IF($A64="","",IF($H64="Completed",$E64*$F64,0))</x:f>
        <x:v>56</x:v>
      </x:c>
      <x:c r="K64" s="29" t="n">
        <x:f>IF($A64="","",IF($H64="Completed",$E64*$G64,0))</x:f>
        <x:v>23.4</x:v>
      </x:c>
      <x:c r="L64" s="29" t="n">
        <x:f>IF($A64="","",J64-K64)</x:f>
        <x:v>32.6</x:v>
      </x:c>
    </x:row>
    <x:row r="65">
      <x:c r="A65" t="str">
        <x:v>ORD-0078</x:v>
      </x:c>
      <x:c r="B65" t="str">
        <x:v>2026-08-23</x:v>
      </x:c>
      <x:c r="C65" t="str">
        <x:v>Pen Set</x:v>
      </x:c>
      <x:c r="D65" t="str">
        <x:v>Stationery</x:v>
      </x:c>
      <x:c r="E65" t="n">
        <x:v>4</x:v>
      </x:c>
      <x:c r="F65" s="26" t="n">
        <x:v>15</x:v>
      </x:c>
      <x:c r="G65" s="26" t="n">
        <x:v>5</x:v>
      </x:c>
      <x:c r="H65" t="str">
        <x:v>Completed</x:v>
      </x:c>
      <x:c r="I65" s="28" t="str">
        <x:f>IF($A65="","",IF(ISNUMBER($B65),TEXT($B65,"yyyy-mm"),LEFT($B65,7)))</x:f>
        <x:v>2026-08</x:v>
      </x:c>
      <x:c r="J65" s="29" t="n">
        <x:f>IF($A65="","",IF($H65="Completed",$E65*$F65,0))</x:f>
        <x:v>60</x:v>
      </x:c>
      <x:c r="K65" s="29" t="n">
        <x:f>IF($A65="","",IF($H65="Completed",$E65*$G65,0))</x:f>
        <x:v>20</x:v>
      </x:c>
      <x:c r="L65" s="29" t="n">
        <x:f>IF($A65="","",J65-K65)</x:f>
        <x:v>40</x:v>
      </x:c>
    </x:row>
    <x:row r="66">
      <x:c r="A66" t="str">
        <x:v>ORD-0085</x:v>
      </x:c>
      <x:c r="B66" t="str">
        <x:v>2026-08-23</x:v>
      </x:c>
      <x:c r="C66" t="str">
        <x:v>Planner</x:v>
      </x:c>
      <x:c r="D66" t="str">
        <x:v>Stationery</x:v>
      </x:c>
      <x:c r="E66" t="n">
        <x:v>4</x:v>
      </x:c>
      <x:c r="F66" s="26" t="n">
        <x:v>21</x:v>
      </x:c>
      <x:c r="G66" s="26" t="n">
        <x:v>7.9</x:v>
      </x:c>
      <x:c r="H66" t="str">
        <x:v>Completed</x:v>
      </x:c>
      <x:c r="I66" s="28" t="str">
        <x:f>IF($A66="","",IF(ISNUMBER($B66),TEXT($B66,"yyyy-mm"),LEFT($B66,7)))</x:f>
        <x:v>2026-08</x:v>
      </x:c>
      <x:c r="J66" s="29" t="n">
        <x:f>IF($A66="","",IF($H66="Completed",$E66*$F66,0))</x:f>
        <x:v>84</x:v>
      </x:c>
      <x:c r="K66" s="29" t="n">
        <x:f>IF($A66="","",IF($H66="Completed",$E66*$G66,0))</x:f>
        <x:v>31.6</x:v>
      </x:c>
      <x:c r="L66" s="29" t="n">
        <x:f>IF($A66="","",J66-K66)</x:f>
        <x:v>52.4</x:v>
      </x:c>
    </x:row>
    <x:row r="67">
      <x:c r="A67" t="str">
        <x:v>ORD-0093</x:v>
      </x:c>
      <x:c r="B67" t="str">
        <x:v>2026-08-23</x:v>
      </x:c>
      <x:c r="C67" t="str">
        <x:v>Notebook</x:v>
      </x:c>
      <x:c r="D67" t="str">
        <x:v>Stationery</x:v>
      </x:c>
      <x:c r="E67" t="n">
        <x:v>1</x:v>
      </x:c>
      <x:c r="F67" s="26" t="n">
        <x:v>12</x:v>
      </x:c>
      <x:c r="G67" s="26" t="n">
        <x:v>4.1</x:v>
      </x:c>
      <x:c r="H67" t="str">
        <x:v>Cancelled</x:v>
      </x:c>
      <x:c r="I67" s="28" t="str">
        <x:f>IF($A67="","",IF(ISNUMBER($B67),TEXT($B67,"yyyy-mm"),LEFT($B67,7)))</x:f>
        <x:v>2026-08</x:v>
      </x:c>
      <x:c r="J67" s="29" t="n">
        <x:f>IF($A67="","",IF($H67="Completed",$E67*$F67,0))</x:f>
        <x:v>0</x:v>
      </x:c>
      <x:c r="K67" s="29" t="n">
        <x:f>IF($A67="","",IF($H67="Completed",$E67*$G67,0))</x:f>
        <x:v>0</x:v>
      </x:c>
      <x:c r="L67" s="29" t="n">
        <x:f>IF($A67="","",J67-K67)</x:f>
        <x:v>0</x:v>
      </x:c>
    </x:row>
    <x:row r="68">
      <x:c r="A68" t="str">
        <x:v>ORD-0075</x:v>
      </x:c>
      <x:c r="B68" t="str">
        <x:v>2026-08-24</x:v>
      </x:c>
      <x:c r="C68" t="str">
        <x:v>Notebook</x:v>
      </x:c>
      <x:c r="D68" t="str">
        <x:v>Stationery</x:v>
      </x:c>
      <x:c r="E68" t="n">
        <x:v>4</x:v>
      </x:c>
      <x:c r="F68" s="26" t="n">
        <x:v>12</x:v>
      </x:c>
      <x:c r="G68" s="26" t="n">
        <x:v>4.1</x:v>
      </x:c>
      <x:c r="H68" t="str">
        <x:v>Completed</x:v>
      </x:c>
      <x:c r="I68" s="28" t="str">
        <x:f>IF($A68="","",IF(ISNUMBER($B68),TEXT($B68,"yyyy-mm"),LEFT($B68,7)))</x:f>
        <x:v>2026-08</x:v>
      </x:c>
      <x:c r="J68" s="29" t="n">
        <x:f>IF($A68="","",IF($H68="Completed",$E68*$F68,0))</x:f>
        <x:v>48</x:v>
      </x:c>
      <x:c r="K68" s="29" t="n">
        <x:f>IF($A68="","",IF($H68="Completed",$E68*$G68,0))</x:f>
        <x:v>16.4</x:v>
      </x:c>
      <x:c r="L68" s="29" t="n">
        <x:f>IF($A68="","",J68-K68)</x:f>
        <x:v>31.6</x:v>
      </x:c>
    </x:row>
    <x:row r="69">
      <x:c r="A69" t="str">
        <x:v>ORD-0006</x:v>
      </x:c>
      <x:c r="B69" t="str">
        <x:v>2026-08-25</x:v>
      </x:c>
      <x:c r="C69" t="str">
        <x:v>Phone Stand</x:v>
      </x:c>
      <x:c r="D69" t="str">
        <x:v>Accessories</x:v>
      </x:c>
      <x:c r="E69" t="n">
        <x:v>3</x:v>
      </x:c>
      <x:c r="F69" s="26" t="n">
        <x:v>28</x:v>
      </x:c>
      <x:c r="G69" s="26" t="n">
        <x:v>11.7</x:v>
      </x:c>
      <x:c r="H69" t="str">
        <x:v>Completed</x:v>
      </x:c>
      <x:c r="I69" s="28" t="str">
        <x:f>IF($A69="","",IF(ISNUMBER($B69),TEXT($B69,"yyyy-mm"),LEFT($B69,7)))</x:f>
        <x:v>2026-08</x:v>
      </x:c>
      <x:c r="J69" s="29" t="n">
        <x:f>IF($A69="","",IF($H69="Completed",$E69*$F69,0))</x:f>
        <x:v>84</x:v>
      </x:c>
      <x:c r="K69" s="29" t="n">
        <x:f>IF($A69="","",IF($H69="Completed",$E69*$G69,0))</x:f>
        <x:v>35.099999999999994</x:v>
      </x:c>
      <x:c r="L69" s="29" t="n">
        <x:f>IF($A69="","",J69-K69)</x:f>
        <x:v>48.900000000000006</x:v>
      </x:c>
    </x:row>
    <x:row r="70">
      <x:c r="A70" t="str">
        <x:v>ORD-0055</x:v>
      </x:c>
      <x:c r="B70" t="str">
        <x:v>2026-08-25</x:v>
      </x:c>
      <x:c r="C70" t="str">
        <x:v>Pen Set</x:v>
      </x:c>
      <x:c r="D70" t="str">
        <x:v>Stationery</x:v>
      </x:c>
      <x:c r="E70" t="n">
        <x:v>1</x:v>
      </x:c>
      <x:c r="F70" s="26" t="n">
        <x:v>15</x:v>
      </x:c>
      <x:c r="G70" s="26" t="n">
        <x:v>5</x:v>
      </x:c>
      <x:c r="H70" t="str">
        <x:v>Completed</x:v>
      </x:c>
      <x:c r="I70" s="28" t="str">
        <x:f>IF($A70="","",IF(ISNUMBER($B70),TEXT($B70,"yyyy-mm"),LEFT($B70,7)))</x:f>
        <x:v>2026-08</x:v>
      </x:c>
      <x:c r="J70" s="29" t="n">
        <x:f>IF($A70="","",IF($H70="Completed",$E70*$F70,0))</x:f>
        <x:v>15</x:v>
      </x:c>
      <x:c r="K70" s="29" t="n">
        <x:f>IF($A70="","",IF($H70="Completed",$E70*$G70,0))</x:f>
        <x:v>5</x:v>
      </x:c>
      <x:c r="L70" s="29" t="n">
        <x:f>IF($A70="","",J70-K70)</x:f>
        <x:v>10</x:v>
      </x:c>
    </x:row>
    <x:row r="71">
      <x:c r="A71" t="str">
        <x:v>ORD-0104</x:v>
      </x:c>
      <x:c r="B71" t="str">
        <x:v>2026-08-25</x:v>
      </x:c>
      <x:c r="C71" t="str">
        <x:v>Desk Lamp</x:v>
      </x:c>
      <x:c r="D71" t="str">
        <x:v>Home</x:v>
      </x:c>
      <x:c r="E71" t="n">
        <x:v>4</x:v>
      </x:c>
      <x:c r="F71" s="26" t="n">
        <x:v>44</x:v>
      </x:c>
      <x:c r="G71" s="26" t="n">
        <x:v>22</x:v>
      </x:c>
      <x:c r="H71" t="str">
        <x:v>Completed</x:v>
      </x:c>
      <x:c r="I71" s="28" t="str">
        <x:f>IF($A71="","",IF(ISNUMBER($B71),TEXT($B71,"yyyy-mm"),LEFT($B71,7)))</x:f>
        <x:v>2026-08</x:v>
      </x:c>
      <x:c r="J71" s="29" t="n">
        <x:f>IF($A71="","",IF($H71="Completed",$E71*$F71,0))</x:f>
        <x:v>176</x:v>
      </x:c>
      <x:c r="K71" s="29" t="n">
        <x:f>IF($A71="","",IF($H71="Completed",$E71*$G71,0))</x:f>
        <x:v>88</x:v>
      </x:c>
      <x:c r="L71" s="29" t="n">
        <x:f>IF($A71="","",J71-K71)</x:f>
        <x:v>88</x:v>
      </x:c>
    </x:row>
    <x:row r="72">
      <x:c r="A72" t="str">
        <x:v>ORD-0039</x:v>
      </x:c>
      <x:c r="B72" t="str">
        <x:v>2026-08-30</x:v>
      </x:c>
      <x:c r="C72" t="str">
        <x:v>Desk Lamp</x:v>
      </x:c>
      <x:c r="D72" t="str">
        <x:v>Home</x:v>
      </x:c>
      <x:c r="E72" t="n">
        <x:v>4</x:v>
      </x:c>
      <x:c r="F72" s="26" t="n">
        <x:v>44</x:v>
      </x:c>
      <x:c r="G72" s="26" t="n">
        <x:v>22</x:v>
      </x:c>
      <x:c r="H72" t="str">
        <x:v>Completed</x:v>
      </x:c>
      <x:c r="I72" s="28" t="str">
        <x:f>IF($A72="","",IF(ISNUMBER($B72),TEXT($B72,"yyyy-mm"),LEFT($B72,7)))</x:f>
        <x:v>2026-08</x:v>
      </x:c>
      <x:c r="J72" s="29" t="n">
        <x:f>IF($A72="","",IF($H72="Completed",$E72*$F72,0))</x:f>
        <x:v>176</x:v>
      </x:c>
      <x:c r="K72" s="29" t="n">
        <x:f>IF($A72="","",IF($H72="Completed",$E72*$G72,0))</x:f>
        <x:v>88</x:v>
      </x:c>
      <x:c r="L72" s="29" t="n">
        <x:f>IF($A72="","",J72-K72)</x:f>
        <x:v>88</x:v>
      </x:c>
    </x:row>
    <x:row r="73">
      <x:c r="A73" t="str">
        <x:v>ORD-0022</x:v>
      </x:c>
      <x:c r="B73" t="str">
        <x:v>2026-08-31</x:v>
      </x:c>
      <x:c r="C73" t="str">
        <x:v>Phone Stand</x:v>
      </x:c>
      <x:c r="D73" t="str">
        <x:v>Accessories</x:v>
      </x:c>
      <x:c r="E73" t="n">
        <x:v>4</x:v>
      </x:c>
      <x:c r="F73" s="26" t="n">
        <x:v>28</x:v>
      </x:c>
      <x:c r="G73" s="26" t="n">
        <x:v>11.7</x:v>
      </x:c>
      <x:c r="H73" t="str">
        <x:v>Cancelled</x:v>
      </x:c>
      <x:c r="I73" s="28" t="str">
        <x:f>IF($A73="","",IF(ISNUMBER($B73),TEXT($B73,"yyyy-mm"),LEFT($B73,7)))</x:f>
        <x:v>2026-08</x:v>
      </x:c>
      <x:c r="J73" s="29" t="n">
        <x:f>IF($A73="","",IF($H73="Completed",$E73*$F73,0))</x:f>
        <x:v>0</x:v>
      </x:c>
      <x:c r="K73" s="29" t="n">
        <x:f>IF($A73="","",IF($H73="Completed",$E73*$G73,0))</x:f>
        <x:v>0</x:v>
      </x:c>
      <x:c r="L73" s="29" t="n">
        <x:f>IF($A73="","",J73-K73)</x:f>
        <x:v>0</x:v>
      </x:c>
    </x:row>
    <x:row r="74">
      <x:c r="A74" t="str">
        <x:v>ORD-0043</x:v>
      </x:c>
      <x:c r="B74" t="str">
        <x:v>2026-09-02</x:v>
      </x:c>
      <x:c r="C74" t="str">
        <x:v>Phone Stand</x:v>
      </x:c>
      <x:c r="D74" t="str">
        <x:v>Accessories</x:v>
      </x:c>
      <x:c r="E74" t="n">
        <x:v>1</x:v>
      </x:c>
      <x:c r="F74" s="26" t="n">
        <x:v>28</x:v>
      </x:c>
      <x:c r="G74" s="26" t="n">
        <x:v>11.7</x:v>
      </x:c>
      <x:c r="H74" t="str">
        <x:v>Completed</x:v>
      </x:c>
      <x:c r="I74" s="28" t="str">
        <x:f>IF($A74="","",IF(ISNUMBER($B74),TEXT($B74,"yyyy-mm"),LEFT($B74,7)))</x:f>
        <x:v>2026-09</x:v>
      </x:c>
      <x:c r="J74" s="29" t="n">
        <x:f>IF($A74="","",IF($H74="Completed",$E74*$F74,0))</x:f>
        <x:v>28</x:v>
      </x:c>
      <x:c r="K74" s="29" t="n">
        <x:f>IF($A74="","",IF($H74="Completed",$E74*$G74,0))</x:f>
        <x:v>11.7</x:v>
      </x:c>
      <x:c r="L74" s="29" t="n">
        <x:f>IF($A74="","",J74-K74)</x:f>
        <x:v>16.3</x:v>
      </x:c>
    </x:row>
    <x:row r="75">
      <x:c r="A75" t="str">
        <x:v>ORD-0117</x:v>
      </x:c>
      <x:c r="B75" t="str">
        <x:v>2026-09-03</x:v>
      </x:c>
      <x:c r="C75" t="str">
        <x:v>Phone Stand</x:v>
      </x:c>
      <x:c r="D75" t="str">
        <x:v>Accessories</x:v>
      </x:c>
      <x:c r="E75" t="n">
        <x:v>3</x:v>
      </x:c>
      <x:c r="F75" s="26" t="n">
        <x:v>28</x:v>
      </x:c>
      <x:c r="G75" s="26" t="n">
        <x:v>11.7</x:v>
      </x:c>
      <x:c r="H75" t="str">
        <x:v>Completed</x:v>
      </x:c>
      <x:c r="I75" s="28" t="str">
        <x:f>IF($A75="","",IF(ISNUMBER($B75),TEXT($B75,"yyyy-mm"),LEFT($B75,7)))</x:f>
        <x:v>2026-09</x:v>
      </x:c>
      <x:c r="J75" s="29" t="n">
        <x:f>IF($A75="","",IF($H75="Completed",$E75*$F75,0))</x:f>
        <x:v>84</x:v>
      </x:c>
      <x:c r="K75" s="29" t="n">
        <x:f>IF($A75="","",IF($H75="Completed",$E75*$G75,0))</x:f>
        <x:v>35.099999999999994</x:v>
      </x:c>
      <x:c r="L75" s="29" t="n">
        <x:f>IF($A75="","",J75-K75)</x:f>
        <x:v>48.900000000000006</x:v>
      </x:c>
    </x:row>
    <x:row r="76">
      <x:c r="A76" t="str">
        <x:v>ORD-0122</x:v>
      </x:c>
      <x:c r="B76" t="str">
        <x:v>2026-09-03</x:v>
      </x:c>
      <x:c r="C76" t="str">
        <x:v>Planner</x:v>
      </x:c>
      <x:c r="D76" t="str">
        <x:v>Stationery</x:v>
      </x:c>
      <x:c r="E76" t="n">
        <x:v>1</x:v>
      </x:c>
      <x:c r="F76" s="26" t="n">
        <x:v>21</x:v>
      </x:c>
      <x:c r="G76" s="26" t="n">
        <x:v>7.9</x:v>
      </x:c>
      <x:c r="H76" t="str">
        <x:v>Completed</x:v>
      </x:c>
      <x:c r="I76" s="28" t="str">
        <x:f>IF($A76="","",IF(ISNUMBER($B76),TEXT($B76,"yyyy-mm"),LEFT($B76,7)))</x:f>
        <x:v>2026-09</x:v>
      </x:c>
      <x:c r="J76" s="29" t="n">
        <x:f>IF($A76="","",IF($H76="Completed",$E76*$F76,0))</x:f>
        <x:v>21</x:v>
      </x:c>
      <x:c r="K76" s="29" t="n">
        <x:f>IF($A76="","",IF($H76="Completed",$E76*$G76,0))</x:f>
        <x:v>7.9</x:v>
      </x:c>
      <x:c r="L76" s="29" t="n">
        <x:f>IF($A76="","",J76-K76)</x:f>
        <x:v>13.1</x:v>
      </x:c>
    </x:row>
    <x:row r="77">
      <x:c r="A77" t="str">
        <x:v>ORD-0061</x:v>
      </x:c>
      <x:c r="B77" t="str">
        <x:v>2026-09-05</x:v>
      </x:c>
      <x:c r="C77" t="str">
        <x:v>Canvas Tote</x:v>
      </x:c>
      <x:c r="D77" t="str">
        <x:v>Accessories</x:v>
      </x:c>
      <x:c r="E77" t="n">
        <x:v>2</x:v>
      </x:c>
      <x:c r="F77" s="26" t="n">
        <x:v>18</x:v>
      </x:c>
      <x:c r="G77" s="26" t="n">
        <x:v>6.3</x:v>
      </x:c>
      <x:c r="H77" t="str">
        <x:v>Completed</x:v>
      </x:c>
      <x:c r="I77" s="28" t="str">
        <x:f>IF($A77="","",IF(ISNUMBER($B77),TEXT($B77,"yyyy-mm"),LEFT($B77,7)))</x:f>
        <x:v>2026-09</x:v>
      </x:c>
      <x:c r="J77" s="29" t="n">
        <x:f>IF($A77="","",IF($H77="Completed",$E77*$F77,0))</x:f>
        <x:v>36</x:v>
      </x:c>
      <x:c r="K77" s="29" t="n">
        <x:f>IF($A77="","",IF($H77="Completed",$E77*$G77,0))</x:f>
        <x:v>12.6</x:v>
      </x:c>
      <x:c r="L77" s="29" t="n">
        <x:f>IF($A77="","",J77-K77)</x:f>
        <x:v>23.4</x:v>
      </x:c>
    </x:row>
    <x:row r="78">
      <x:c r="A78" t="str">
        <x:v>ORD-0110</x:v>
      </x:c>
      <x:c r="B78" t="str">
        <x:v>2026-09-05</x:v>
      </x:c>
      <x:c r="C78" t="str">
        <x:v>Water Bottle</x:v>
      </x:c>
      <x:c r="D78" t="str">
        <x:v>Accessories</x:v>
      </x:c>
      <x:c r="E78" t="n">
        <x:v>2</x:v>
      </x:c>
      <x:c r="F78" s="26" t="n">
        <x:v>24</x:v>
      </x:c>
      <x:c r="G78" s="26" t="n">
        <x:v>9.2</x:v>
      </x:c>
      <x:c r="H78" t="str">
        <x:v>Completed</x:v>
      </x:c>
      <x:c r="I78" s="28" t="str">
        <x:f>IF($A78="","",IF(ISNUMBER($B78),TEXT($B78,"yyyy-mm"),LEFT($B78,7)))</x:f>
        <x:v>2026-09</x:v>
      </x:c>
      <x:c r="J78" s="29" t="n">
        <x:f>IF($A78="","",IF($H78="Completed",$E78*$F78,0))</x:f>
        <x:v>48</x:v>
      </x:c>
      <x:c r="K78" s="29" t="n">
        <x:f>IF($A78="","",IF($H78="Completed",$E78*$G78,0))</x:f>
        <x:v>18.4</x:v>
      </x:c>
      <x:c r="L78" s="29" t="n">
        <x:f>IF($A78="","",J78-K78)</x:f>
        <x:v>29.6</x:v>
      </x:c>
    </x:row>
    <x:row r="79">
      <x:c r="A79" t="str">
        <x:v>ORD-0068</x:v>
      </x:c>
      <x:c r="B79" t="str">
        <x:v>2026-09-06</x:v>
      </x:c>
      <x:c r="C79" t="str">
        <x:v>Canvas Tote</x:v>
      </x:c>
      <x:c r="D79" t="str">
        <x:v>Accessories</x:v>
      </x:c>
      <x:c r="E79" t="n">
        <x:v>1</x:v>
      </x:c>
      <x:c r="F79" s="26" t="n">
        <x:v>18</x:v>
      </x:c>
      <x:c r="G79" s="26" t="n">
        <x:v>6.3</x:v>
      </x:c>
      <x:c r="H79" t="str">
        <x:v>Refunded</x:v>
      </x:c>
      <x:c r="I79" s="28" t="str">
        <x:f>IF($A79="","",IF(ISNUMBER($B79),TEXT($B79,"yyyy-mm"),LEFT($B79,7)))</x:f>
        <x:v>2026-09</x:v>
      </x:c>
      <x:c r="J79" s="29" t="n">
        <x:f>IF($A79="","",IF($H79="Completed",$E79*$F79,0))</x:f>
        <x:v>0</x:v>
      </x:c>
      <x:c r="K79" s="29" t="n">
        <x:f>IF($A79="","",IF($H79="Completed",$E79*$G79,0))</x:f>
        <x:v>0</x:v>
      </x:c>
      <x:c r="L79" s="29" t="n">
        <x:f>IF($A79="","",J79-K79)</x:f>
        <x:v>0</x:v>
      </x:c>
    </x:row>
    <x:row r="80">
      <x:c r="A80" t="str">
        <x:v>ORD-0091</x:v>
      </x:c>
      <x:c r="B80" t="str">
        <x:v>2026-09-08</x:v>
      </x:c>
      <x:c r="C80" t="str">
        <x:v>Phone Stand</x:v>
      </x:c>
      <x:c r="D80" t="str">
        <x:v>Accessories</x:v>
      </x:c>
      <x:c r="E80" t="n">
        <x:v>3</x:v>
      </x:c>
      <x:c r="F80" s="26" t="n">
        <x:v>28</x:v>
      </x:c>
      <x:c r="G80" s="26" t="n">
        <x:v>11.7</x:v>
      </x:c>
      <x:c r="H80" t="str">
        <x:v>Completed</x:v>
      </x:c>
      <x:c r="I80" s="28" t="str">
        <x:f>IF($A80="","",IF(ISNUMBER($B80),TEXT($B80,"yyyy-mm"),LEFT($B80,7)))</x:f>
        <x:v>2026-09</x:v>
      </x:c>
      <x:c r="J80" s="29" t="n">
        <x:f>IF($A80="","",IF($H80="Completed",$E80*$F80,0))</x:f>
        <x:v>84</x:v>
      </x:c>
      <x:c r="K80" s="29" t="n">
        <x:f>IF($A80="","",IF($H80="Completed",$E80*$G80,0))</x:f>
        <x:v>35.099999999999994</x:v>
      </x:c>
      <x:c r="L80" s="29" t="n">
        <x:f>IF($A80="","",J80-K80)</x:f>
        <x:v>48.900000000000006</x:v>
      </x:c>
    </x:row>
    <x:row r="81">
      <x:c r="A81" t="str">
        <x:v>ORD-0124</x:v>
      </x:c>
      <x:c r="B81" t="str">
        <x:v>2026-09-09</x:v>
      </x:c>
      <x:c r="C81" t="str">
        <x:v>Pen Set</x:v>
      </x:c>
      <x:c r="D81" t="str">
        <x:v>Stationery</x:v>
      </x:c>
      <x:c r="E81" t="n">
        <x:v>4</x:v>
      </x:c>
      <x:c r="F81" s="26" t="n">
        <x:v>15</x:v>
      </x:c>
      <x:c r="G81" s="26" t="n">
        <x:v>5</x:v>
      </x:c>
      <x:c r="H81" t="str">
        <x:v>Completed</x:v>
      </x:c>
      <x:c r="I81" s="28" t="str">
        <x:f>IF($A81="","",IF(ISNUMBER($B81),TEXT($B81,"yyyy-mm"),LEFT($B81,7)))</x:f>
        <x:v>2026-09</x:v>
      </x:c>
      <x:c r="J81" s="29" t="n">
        <x:f>IF($A81="","",IF($H81="Completed",$E81*$F81,0))</x:f>
        <x:v>60</x:v>
      </x:c>
      <x:c r="K81" s="29" t="n">
        <x:f>IF($A81="","",IF($H81="Completed",$E81*$G81,0))</x:f>
        <x:v>20</x:v>
      </x:c>
      <x:c r="L81" s="29" t="n">
        <x:f>IF($A81="","",J81-K81)</x:f>
        <x:v>40</x:v>
      </x:c>
    </x:row>
    <x:row r="82">
      <x:c r="A82" t="str">
        <x:v>ORD-0132</x:v>
      </x:c>
      <x:c r="B82" t="str">
        <x:v>2026-09-09</x:v>
      </x:c>
      <x:c r="C82" t="str">
        <x:v>Desk Lamp</x:v>
      </x:c>
      <x:c r="D82" t="str">
        <x:v>Home</x:v>
      </x:c>
      <x:c r="E82" t="n">
        <x:v>1</x:v>
      </x:c>
      <x:c r="F82" s="26" t="n">
        <x:v>44</x:v>
      </x:c>
      <x:c r="G82" s="26" t="n">
        <x:v>22</x:v>
      </x:c>
      <x:c r="H82" t="str">
        <x:v>Completed</x:v>
      </x:c>
      <x:c r="I82" s="28" t="str">
        <x:f>IF($A82="","",IF(ISNUMBER($B82),TEXT($B82,"yyyy-mm"),LEFT($B82,7)))</x:f>
        <x:v>2026-09</x:v>
      </x:c>
      <x:c r="J82" s="29" t="n">
        <x:f>IF($A82="","",IF($H82="Completed",$E82*$F82,0))</x:f>
        <x:v>44</x:v>
      </x:c>
      <x:c r="K82" s="29" t="n">
        <x:f>IF($A82="","",IF($H82="Completed",$E82*$G82,0))</x:f>
        <x:v>22</x:v>
      </x:c>
      <x:c r="L82" s="29" t="n">
        <x:f>IF($A82="","",J82-K82)</x:f>
        <x:v>22</x:v>
      </x:c>
    </x:row>
    <x:row r="83">
      <x:c r="A83" t="str">
        <x:v>ORD-0008</x:v>
      </x:c>
      <x:c r="B83" t="str">
        <x:v>2026-09-10</x:v>
      </x:c>
      <x:c r="C83" t="str">
        <x:v>Pen Set</x:v>
      </x:c>
      <x:c r="D83" t="str">
        <x:v>Stationery</x:v>
      </x:c>
      <x:c r="E83" t="n">
        <x:v>2</x:v>
      </x:c>
      <x:c r="F83" s="26" t="n">
        <x:v>15</x:v>
      </x:c>
      <x:c r="G83" s="26" t="n">
        <x:v>5</x:v>
      </x:c>
      <x:c r="H83" t="str">
        <x:v>Completed</x:v>
      </x:c>
      <x:c r="I83" s="28" t="str">
        <x:f>IF($A83="","",IF(ISNUMBER($B83),TEXT($B83,"yyyy-mm"),LEFT($B83,7)))</x:f>
        <x:v>2026-09</x:v>
      </x:c>
      <x:c r="J83" s="29" t="n">
        <x:f>IF($A83="","",IF($H83="Completed",$E83*$F83,0))</x:f>
        <x:v>30</x:v>
      </x:c>
      <x:c r="K83" s="29" t="n">
        <x:f>IF($A83="","",IF($H83="Completed",$E83*$G83,0))</x:f>
        <x:v>10</x:v>
      </x:c>
      <x:c r="L83" s="29" t="n">
        <x:f>IF($A83="","",J83-K83)</x:f>
        <x:v>20</x:v>
      </x:c>
    </x:row>
    <x:row r="84">
      <x:c r="A84" t="str">
        <x:v>ORD-0037</x:v>
      </x:c>
      <x:c r="B84" t="str">
        <x:v>2026-09-10</x:v>
      </x:c>
      <x:c r="C84" t="str">
        <x:v>Pen Set</x:v>
      </x:c>
      <x:c r="D84" t="str">
        <x:v>Stationery</x:v>
      </x:c>
      <x:c r="E84" t="n">
        <x:v>4</x:v>
      </x:c>
      <x:c r="F84" s="26" t="n">
        <x:v>15</x:v>
      </x:c>
      <x:c r="G84" s="26" t="n">
        <x:v>5</x:v>
      </x:c>
      <x:c r="H84" t="str">
        <x:v>Completed</x:v>
      </x:c>
      <x:c r="I84" s="28" t="str">
        <x:f>IF($A84="","",IF(ISNUMBER($B84),TEXT($B84,"yyyy-mm"),LEFT($B84,7)))</x:f>
        <x:v>2026-09</x:v>
      </x:c>
      <x:c r="J84" s="29" t="n">
        <x:f>IF($A84="","",IF($H84="Completed",$E84*$F84,0))</x:f>
        <x:v>60</x:v>
      </x:c>
      <x:c r="K84" s="29" t="n">
        <x:f>IF($A84="","",IF($H84="Completed",$E84*$G84,0))</x:f>
        <x:v>20</x:v>
      </x:c>
      <x:c r="L84" s="29" t="n">
        <x:f>IF($A84="","",J84-K84)</x:f>
        <x:v>40</x:v>
      </x:c>
    </x:row>
    <x:row r="85">
      <x:c r="A85" t="str">
        <x:v>ORD-0076</x:v>
      </x:c>
      <x:c r="B85" t="str">
        <x:v>2026-09-10</x:v>
      </x:c>
      <x:c r="C85" t="str">
        <x:v>Pen Set</x:v>
      </x:c>
      <x:c r="D85" t="str">
        <x:v>Stationery</x:v>
      </x:c>
      <x:c r="E85" t="n">
        <x:v>4</x:v>
      </x:c>
      <x:c r="F85" s="26" t="n">
        <x:v>15</x:v>
      </x:c>
      <x:c r="G85" s="26" t="n">
        <x:v>5</x:v>
      </x:c>
      <x:c r="H85" t="str">
        <x:v>Cancelled</x:v>
      </x:c>
      <x:c r="I85" s="28" t="str">
        <x:f>IF($A85="","",IF(ISNUMBER($B85),TEXT($B85,"yyyy-mm"),LEFT($B85,7)))</x:f>
        <x:v>2026-09</x:v>
      </x:c>
      <x:c r="J85" s="29" t="n">
        <x:f>IF($A85="","",IF($H85="Completed",$E85*$F85,0))</x:f>
        <x:v>0</x:v>
      </x:c>
      <x:c r="K85" s="29" t="n">
        <x:f>IF($A85="","",IF($H85="Completed",$E85*$G85,0))</x:f>
        <x:v>0</x:v>
      </x:c>
      <x:c r="L85" s="29" t="n">
        <x:f>IF($A85="","",J85-K85)</x:f>
        <x:v>0</x:v>
      </x:c>
    </x:row>
    <x:row r="86">
      <x:c r="A86" t="str">
        <x:v>ORD-0038</x:v>
      </x:c>
      <x:c r="B86" t="str">
        <x:v>2026-09-11</x:v>
      </x:c>
      <x:c r="C86" t="str">
        <x:v>Pen Set</x:v>
      </x:c>
      <x:c r="D86" t="str">
        <x:v>Stationery</x:v>
      </x:c>
      <x:c r="E86" t="n">
        <x:v>2</x:v>
      </x:c>
      <x:c r="F86" s="26" t="n">
        <x:v>15</x:v>
      </x:c>
      <x:c r="G86" s="26" t="n">
        <x:v>5</x:v>
      </x:c>
      <x:c r="H86" t="str">
        <x:v>Completed</x:v>
      </x:c>
      <x:c r="I86" s="28" t="str">
        <x:f>IF($A86="","",IF(ISNUMBER($B86),TEXT($B86,"yyyy-mm"),LEFT($B86,7)))</x:f>
        <x:v>2026-09</x:v>
      </x:c>
      <x:c r="J86" s="29" t="n">
        <x:f>IF($A86="","",IF($H86="Completed",$E86*$F86,0))</x:f>
        <x:v>30</x:v>
      </x:c>
      <x:c r="K86" s="29" t="n">
        <x:f>IF($A86="","",IF($H86="Completed",$E86*$G86,0))</x:f>
        <x:v>10</x:v>
      </x:c>
      <x:c r="L86" s="29" t="n">
        <x:f>IF($A86="","",J86-K86)</x:f>
        <x:v>20</x:v>
      </x:c>
    </x:row>
    <x:row r="87">
      <x:c r="A87" t="str">
        <x:v>ORD-0127</x:v>
      </x:c>
      <x:c r="B87" t="str">
        <x:v>2026-09-11</x:v>
      </x:c>
      <x:c r="C87" t="str">
        <x:v>Desk Lamp</x:v>
      </x:c>
      <x:c r="D87" t="str">
        <x:v>Home</x:v>
      </x:c>
      <x:c r="E87" t="n">
        <x:v>1</x:v>
      </x:c>
      <x:c r="F87" s="26" t="n">
        <x:v>44</x:v>
      </x:c>
      <x:c r="G87" s="26" t="n">
        <x:v>22</x:v>
      </x:c>
      <x:c r="H87" t="str">
        <x:v>Refunded</x:v>
      </x:c>
      <x:c r="I87" s="28" t="str">
        <x:f>IF($A87="","",IF(ISNUMBER($B87),TEXT($B87,"yyyy-mm"),LEFT($B87,7)))</x:f>
        <x:v>2026-09</x:v>
      </x:c>
      <x:c r="J87" s="29" t="n">
        <x:f>IF($A87="","",IF($H87="Completed",$E87*$F87,0))</x:f>
        <x:v>0</x:v>
      </x:c>
      <x:c r="K87" s="29" t="n">
        <x:f>IF($A87="","",IF($H87="Completed",$E87*$G87,0))</x:f>
        <x:v>0</x:v>
      </x:c>
      <x:c r="L87" s="29" t="n">
        <x:f>IF($A87="","",J87-K87)</x:f>
        <x:v>0</x:v>
      </x:c>
    </x:row>
    <x:row r="88">
      <x:c r="A88" t="str">
        <x:v>ORD-0052</x:v>
      </x:c>
      <x:c r="B88" t="str">
        <x:v>2026-09-12</x:v>
      </x:c>
      <x:c r="C88" t="str">
        <x:v>Phone Stand</x:v>
      </x:c>
      <x:c r="D88" t="str">
        <x:v>Accessories</x:v>
      </x:c>
      <x:c r="E88" t="n">
        <x:v>4</x:v>
      </x:c>
      <x:c r="F88" s="26" t="n">
        <x:v>28</x:v>
      </x:c>
      <x:c r="G88" s="26" t="n">
        <x:v>11.7</x:v>
      </x:c>
      <x:c r="H88" t="str">
        <x:v>Completed</x:v>
      </x:c>
      <x:c r="I88" s="28" t="str">
        <x:f>IF($A88="","",IF(ISNUMBER($B88),TEXT($B88,"yyyy-mm"),LEFT($B88,7)))</x:f>
        <x:v>2026-09</x:v>
      </x:c>
      <x:c r="J88" s="29" t="n">
        <x:f>IF($A88="","",IF($H88="Completed",$E88*$F88,0))</x:f>
        <x:v>112</x:v>
      </x:c>
      <x:c r="K88" s="29" t="n">
        <x:f>IF($A88="","",IF($H88="Completed",$E88*$G88,0))</x:f>
        <x:v>46.8</x:v>
      </x:c>
      <x:c r="L88" s="29" t="n">
        <x:f>IF($A88="","",J88-K88)</x:f>
        <x:v>65.2</x:v>
      </x:c>
    </x:row>
    <x:row r="89">
      <x:c r="A89" t="str">
        <x:v>ORD-0113</x:v>
      </x:c>
      <x:c r="B89" t="str">
        <x:v>2026-09-12</x:v>
      </x:c>
      <x:c r="C89" t="str">
        <x:v>Pen Set</x:v>
      </x:c>
      <x:c r="D89" t="str">
        <x:v>Stationery</x:v>
      </x:c>
      <x:c r="E89" t="n">
        <x:v>1</x:v>
      </x:c>
      <x:c r="F89" s="26" t="n">
        <x:v>15</x:v>
      </x:c>
      <x:c r="G89" s="26" t="n">
        <x:v>5</x:v>
      </x:c>
      <x:c r="H89" t="str">
        <x:v>Completed</x:v>
      </x:c>
      <x:c r="I89" s="28" t="str">
        <x:f>IF($A89="","",IF(ISNUMBER($B89),TEXT($B89,"yyyy-mm"),LEFT($B89,7)))</x:f>
        <x:v>2026-09</x:v>
      </x:c>
      <x:c r="J89" s="29" t="n">
        <x:f>IF($A89="","",IF($H89="Completed",$E89*$F89,0))</x:f>
        <x:v>15</x:v>
      </x:c>
      <x:c r="K89" s="29" t="n">
        <x:f>IF($A89="","",IF($H89="Completed",$E89*$G89,0))</x:f>
        <x:v>5</x:v>
      </x:c>
      <x:c r="L89" s="29" t="n">
        <x:f>IF($A89="","",J89-K89)</x:f>
        <x:v>10</x:v>
      </x:c>
    </x:row>
    <x:row r="90">
      <x:c r="A90" t="str">
        <x:v>ORD-0086</x:v>
      </x:c>
      <x:c r="B90" t="str">
        <x:v>2026-09-13</x:v>
      </x:c>
      <x:c r="C90" t="str">
        <x:v>Ceramic Mug</x:v>
      </x:c>
      <x:c r="D90" t="str">
        <x:v>Home</x:v>
      </x:c>
      <x:c r="E90" t="n">
        <x:v>3</x:v>
      </x:c>
      <x:c r="F90" s="26" t="n">
        <x:v>22</x:v>
      </x:c>
      <x:c r="G90" s="26" t="n">
        <x:v>8.4</x:v>
      </x:c>
      <x:c r="H90" t="str">
        <x:v>Cancelled</x:v>
      </x:c>
      <x:c r="I90" s="28" t="str">
        <x:f>IF($A90="","",IF(ISNUMBER($B90),TEXT($B90,"yyyy-mm"),LEFT($B90,7)))</x:f>
        <x:v>2026-09</x:v>
      </x:c>
      <x:c r="J90" s="29" t="n">
        <x:f>IF($A90="","",IF($H90="Completed",$E90*$F90,0))</x:f>
        <x:v>0</x:v>
      </x:c>
      <x:c r="K90" s="29" t="n">
        <x:f>IF($A90="","",IF($H90="Completed",$E90*$G90,0))</x:f>
        <x:v>0</x:v>
      </x:c>
      <x:c r="L90" s="29" t="n">
        <x:f>IF($A90="","",J90-K90)</x:f>
        <x:v>0</x:v>
      </x:c>
    </x:row>
    <x:row r="91">
      <x:c r="A91" t="str">
        <x:v>ORD-0089</x:v>
      </x:c>
      <x:c r="B91" t="str">
        <x:v>2026-09-13</x:v>
      </x:c>
      <x:c r="C91" t="str">
        <x:v>Water Bottle</x:v>
      </x:c>
      <x:c r="D91" t="str">
        <x:v>Accessories</x:v>
      </x:c>
      <x:c r="E91" t="n">
        <x:v>1</x:v>
      </x:c>
      <x:c r="F91" s="26" t="n">
        <x:v>24</x:v>
      </x:c>
      <x:c r="G91" s="26" t="n">
        <x:v>9.2</x:v>
      </x:c>
      <x:c r="H91" t="str">
        <x:v>Completed</x:v>
      </x:c>
      <x:c r="I91" s="28" t="str">
        <x:f>IF($A91="","",IF(ISNUMBER($B91),TEXT($B91,"yyyy-mm"),LEFT($B91,7)))</x:f>
        <x:v>2026-09</x:v>
      </x:c>
      <x:c r="J91" s="29" t="n">
        <x:f>IF($A91="","",IF($H91="Completed",$E91*$F91,0))</x:f>
        <x:v>24</x:v>
      </x:c>
      <x:c r="K91" s="29" t="n">
        <x:f>IF($A91="","",IF($H91="Completed",$E91*$G91,0))</x:f>
        <x:v>9.2</x:v>
      </x:c>
      <x:c r="L91" s="29" t="n">
        <x:f>IF($A91="","",J91-K91)</x:f>
        <x:v>14.8</x:v>
      </x:c>
    </x:row>
    <x:row r="92">
      <x:c r="A92" t="str">
        <x:v>ORD-0013</x:v>
      </x:c>
      <x:c r="B92" t="str">
        <x:v>2026-09-15</x:v>
      </x:c>
      <x:c r="C92" t="str">
        <x:v>Notebook</x:v>
      </x:c>
      <x:c r="D92" t="str">
        <x:v>Stationery</x:v>
      </x:c>
      <x:c r="E92" t="n">
        <x:v>1</x:v>
      </x:c>
      <x:c r="F92" s="26" t="n">
        <x:v>12</x:v>
      </x:c>
      <x:c r="G92" s="26" t="n">
        <x:v>4.1</x:v>
      </x:c>
      <x:c r="H92" t="str">
        <x:v>Completed</x:v>
      </x:c>
      <x:c r="I92" s="28" t="str">
        <x:f>IF($A92="","",IF(ISNUMBER($B92),TEXT($B92,"yyyy-mm"),LEFT($B92,7)))</x:f>
        <x:v>2026-09</x:v>
      </x:c>
      <x:c r="J92" s="29" t="n">
        <x:f>IF($A92="","",IF($H92="Completed",$E92*$F92,0))</x:f>
        <x:v>12</x:v>
      </x:c>
      <x:c r="K92" s="29" t="n">
        <x:f>IF($A92="","",IF($H92="Completed",$E92*$G92,0))</x:f>
        <x:v>4.1</x:v>
      </x:c>
      <x:c r="L92" s="29" t="n">
        <x:f>IF($A92="","",J92-K92)</x:f>
        <x:v>7.9</x:v>
      </x:c>
    </x:row>
    <x:row r="93">
      <x:c r="A93" t="str">
        <x:v>ORD-0069</x:v>
      </x:c>
      <x:c r="B93" t="str">
        <x:v>2026-09-15</x:v>
      </x:c>
      <x:c r="C93" t="str">
        <x:v>Notebook</x:v>
      </x:c>
      <x:c r="D93" t="str">
        <x:v>Stationery</x:v>
      </x:c>
      <x:c r="E93" t="n">
        <x:v>4</x:v>
      </x:c>
      <x:c r="F93" s="26" t="n">
        <x:v>12</x:v>
      </x:c>
      <x:c r="G93" s="26" t="n">
        <x:v>4.1</x:v>
      </x:c>
      <x:c r="H93" t="str">
        <x:v>Completed</x:v>
      </x:c>
      <x:c r="I93" s="28" t="str">
        <x:f>IF($A93="","",IF(ISNUMBER($B93),TEXT($B93,"yyyy-mm"),LEFT($B93,7)))</x:f>
        <x:v>2026-09</x:v>
      </x:c>
      <x:c r="J93" s="29" t="n">
        <x:f>IF($A93="","",IF($H93="Completed",$E93*$F93,0))</x:f>
        <x:v>48</x:v>
      </x:c>
      <x:c r="K93" s="29" t="n">
        <x:f>IF($A93="","",IF($H93="Completed",$E93*$G93,0))</x:f>
        <x:v>16.4</x:v>
      </x:c>
      <x:c r="L93" s="29" t="n">
        <x:f>IF($A93="","",J93-K93)</x:f>
        <x:v>31.6</x:v>
      </x:c>
    </x:row>
    <x:row r="94">
      <x:c r="A94" t="str">
        <x:v>ORD-0004</x:v>
      </x:c>
      <x:c r="B94" t="str">
        <x:v>2026-09-16</x:v>
      </x:c>
      <x:c r="C94" t="str">
        <x:v>Planner</x:v>
      </x:c>
      <x:c r="D94" t="str">
        <x:v>Stationery</x:v>
      </x:c>
      <x:c r="E94" t="n">
        <x:v>3</x:v>
      </x:c>
      <x:c r="F94" s="26" t="n">
        <x:v>21</x:v>
      </x:c>
      <x:c r="G94" s="26" t="n">
        <x:v>7.9</x:v>
      </x:c>
      <x:c r="H94" t="str">
        <x:v>Completed</x:v>
      </x:c>
      <x:c r="I94" s="28" t="str">
        <x:f>IF($A94="","",IF(ISNUMBER($B94),TEXT($B94,"yyyy-mm"),LEFT($B94,7)))</x:f>
        <x:v>2026-09</x:v>
      </x:c>
      <x:c r="J94" s="29" t="n">
        <x:f>IF($A94="","",IF($H94="Completed",$E94*$F94,0))</x:f>
        <x:v>63</x:v>
      </x:c>
      <x:c r="K94" s="29" t="n">
        <x:f>IF($A94="","",IF($H94="Completed",$E94*$G94,0))</x:f>
        <x:v>23.700000000000003</x:v>
      </x:c>
      <x:c r="L94" s="29" t="n">
        <x:f>IF($A94="","",J94-K94)</x:f>
        <x:v>39.3</x:v>
      </x:c>
    </x:row>
    <x:row r="95">
      <x:c r="A95" t="str">
        <x:v>ORD-0007</x:v>
      </x:c>
      <x:c r="B95" t="str">
        <x:v>2026-09-16</x:v>
      </x:c>
      <x:c r="C95" t="str">
        <x:v>Ceramic Mug</x:v>
      </x:c>
      <x:c r="D95" t="str">
        <x:v>Home</x:v>
      </x:c>
      <x:c r="E95" t="n">
        <x:v>1</x:v>
      </x:c>
      <x:c r="F95" s="26" t="n">
        <x:v>22</x:v>
      </x:c>
      <x:c r="G95" s="26" t="n">
        <x:v>8.4</x:v>
      </x:c>
      <x:c r="H95" t="str">
        <x:v>Completed</x:v>
      </x:c>
      <x:c r="I95" s="28" t="str">
        <x:f>IF($A95="","",IF(ISNUMBER($B95),TEXT($B95,"yyyy-mm"),LEFT($B95,7)))</x:f>
        <x:v>2026-09</x:v>
      </x:c>
      <x:c r="J95" s="29" t="n">
        <x:f>IF($A95="","",IF($H95="Completed",$E95*$F95,0))</x:f>
        <x:v>22</x:v>
      </x:c>
      <x:c r="K95" s="29" t="n">
        <x:f>IF($A95="","",IF($H95="Completed",$E95*$G95,0))</x:f>
        <x:v>8.4</x:v>
      </x:c>
      <x:c r="L95" s="29" t="n">
        <x:f>IF($A95="","",J95-K95)</x:f>
        <x:v>13.6</x:v>
      </x:c>
    </x:row>
    <x:row r="96">
      <x:c r="A96" t="str">
        <x:v>ORD-0105</x:v>
      </x:c>
      <x:c r="B96" t="str">
        <x:v>2026-09-16</x:v>
      </x:c>
      <x:c r="C96" t="str">
        <x:v>Planner</x:v>
      </x:c>
      <x:c r="D96" t="str">
        <x:v>Stationery</x:v>
      </x:c>
      <x:c r="E96" t="n">
        <x:v>1</x:v>
      </x:c>
      <x:c r="F96" s="26" t="n">
        <x:v>21</x:v>
      </x:c>
      <x:c r="G96" s="26" t="n">
        <x:v>7.9</x:v>
      </x:c>
      <x:c r="H96" t="str">
        <x:v>Completed</x:v>
      </x:c>
      <x:c r="I96" s="28" t="str">
        <x:f>IF($A96="","",IF(ISNUMBER($B96),TEXT($B96,"yyyy-mm"),LEFT($B96,7)))</x:f>
        <x:v>2026-09</x:v>
      </x:c>
      <x:c r="J96" s="29" t="n">
        <x:f>IF($A96="","",IF($H96="Completed",$E96*$F96,0))</x:f>
        <x:v>21</x:v>
      </x:c>
      <x:c r="K96" s="29" t="n">
        <x:f>IF($A96="","",IF($H96="Completed",$E96*$G96,0))</x:f>
        <x:v>7.9</x:v>
      </x:c>
      <x:c r="L96" s="29" t="n">
        <x:f>IF($A96="","",J96-K96)</x:f>
        <x:v>13.1</x:v>
      </x:c>
    </x:row>
    <x:row r="97">
      <x:c r="A97" t="str">
        <x:v>ORD-0101</x:v>
      </x:c>
      <x:c r="B97" t="str">
        <x:v>2026-09-17</x:v>
      </x:c>
      <x:c r="C97" t="str">
        <x:v>Phone Stand</x:v>
      </x:c>
      <x:c r="D97" t="str">
        <x:v>Accessories</x:v>
      </x:c>
      <x:c r="E97" t="n">
        <x:v>2</x:v>
      </x:c>
      <x:c r="F97" s="26" t="n">
        <x:v>28</x:v>
      </x:c>
      <x:c r="G97" s="26" t="n">
        <x:v>11.7</x:v>
      </x:c>
      <x:c r="H97" t="str">
        <x:v>Cancelled</x:v>
      </x:c>
      <x:c r="I97" s="28" t="str">
        <x:f>IF($A97="","",IF(ISNUMBER($B97),TEXT($B97,"yyyy-mm"),LEFT($B97,7)))</x:f>
        <x:v>2026-09</x:v>
      </x:c>
      <x:c r="J97" s="29" t="n">
        <x:f>IF($A97="","",IF($H97="Completed",$E97*$F97,0))</x:f>
        <x:v>0</x:v>
      </x:c>
      <x:c r="K97" s="29" t="n">
        <x:f>IF($A97="","",IF($H97="Completed",$E97*$G97,0))</x:f>
        <x:v>0</x:v>
      </x:c>
      <x:c r="L97" s="29" t="n">
        <x:f>IF($A97="","",J97-K97)</x:f>
        <x:v>0</x:v>
      </x:c>
    </x:row>
    <x:row r="98">
      <x:c r="A98" t="str">
        <x:v>ORD-0106</x:v>
      </x:c>
      <x:c r="B98" t="str">
        <x:v>2026-09-17</x:v>
      </x:c>
      <x:c r="C98" t="str">
        <x:v>Canvas Tote</x:v>
      </x:c>
      <x:c r="D98" t="str">
        <x:v>Accessories</x:v>
      </x:c>
      <x:c r="E98" t="n">
        <x:v>4</x:v>
      </x:c>
      <x:c r="F98" s="26" t="n">
        <x:v>18</x:v>
      </x:c>
      <x:c r="G98" s="26" t="n">
        <x:v>6.3</x:v>
      </x:c>
      <x:c r="H98" t="str">
        <x:v>Completed</x:v>
      </x:c>
      <x:c r="I98" s="28" t="str">
        <x:f>IF($A98="","",IF(ISNUMBER($B98),TEXT($B98,"yyyy-mm"),LEFT($B98,7)))</x:f>
        <x:v>2026-09</x:v>
      </x:c>
      <x:c r="J98" s="29" t="n">
        <x:f>IF($A98="","",IF($H98="Completed",$E98*$F98,0))</x:f>
        <x:v>72</x:v>
      </x:c>
      <x:c r="K98" s="29" t="n">
        <x:f>IF($A98="","",IF($H98="Completed",$E98*$G98,0))</x:f>
        <x:v>25.2</x:v>
      </x:c>
      <x:c r="L98" s="29" t="n">
        <x:f>IF($A98="","",J98-K98)</x:f>
        <x:v>46.8</x:v>
      </x:c>
    </x:row>
    <x:row r="99">
      <x:c r="A99" t="str">
        <x:v>ORD-0046</x:v>
      </x:c>
      <x:c r="B99" t="str">
        <x:v>2026-09-18</x:v>
      </x:c>
      <x:c r="C99" t="str">
        <x:v>Notebook</x:v>
      </x:c>
      <x:c r="D99" t="str">
        <x:v>Stationery</x:v>
      </x:c>
      <x:c r="E99" t="n">
        <x:v>1</x:v>
      </x:c>
      <x:c r="F99" s="26" t="n">
        <x:v>12</x:v>
      </x:c>
      <x:c r="G99" s="26" t="n">
        <x:v>4.1</x:v>
      </x:c>
      <x:c r="H99" t="str">
        <x:v>Completed</x:v>
      </x:c>
      <x:c r="I99" s="28" t="str">
        <x:f>IF($A99="","",IF(ISNUMBER($B99),TEXT($B99,"yyyy-mm"),LEFT($B99,7)))</x:f>
        <x:v>2026-09</x:v>
      </x:c>
      <x:c r="J99" s="29" t="n">
        <x:f>IF($A99="","",IF($H99="Completed",$E99*$F99,0))</x:f>
        <x:v>12</x:v>
      </x:c>
      <x:c r="K99" s="29" t="n">
        <x:f>IF($A99="","",IF($H99="Completed",$E99*$G99,0))</x:f>
        <x:v>4.1</x:v>
      </x:c>
      <x:c r="L99" s="29" t="n">
        <x:f>IF($A99="","",J99-K99)</x:f>
        <x:v>7.9</x:v>
      </x:c>
    </x:row>
    <x:row r="100">
      <x:c r="A100" t="str">
        <x:v>ORD-0080</x:v>
      </x:c>
      <x:c r="B100" t="str">
        <x:v>2026-09-19</x:v>
      </x:c>
      <x:c r="C100" t="str">
        <x:v>Desk Lamp</x:v>
      </x:c>
      <x:c r="D100" t="str">
        <x:v>Home</x:v>
      </x:c>
      <x:c r="E100" t="n">
        <x:v>3</x:v>
      </x:c>
      <x:c r="F100" s="26" t="n">
        <x:v>44</x:v>
      </x:c>
      <x:c r="G100" s="26" t="n">
        <x:v>22</x:v>
      </x:c>
      <x:c r="H100" t="str">
        <x:v>Completed</x:v>
      </x:c>
      <x:c r="I100" s="28" t="str">
        <x:f>IF($A100="","",IF(ISNUMBER($B100),TEXT($B100,"yyyy-mm"),LEFT($B100,7)))</x:f>
        <x:v>2026-09</x:v>
      </x:c>
      <x:c r="J100" s="29" t="n">
        <x:f>IF($A100="","",IF($H100="Completed",$E100*$F100,0))</x:f>
        <x:v>132</x:v>
      </x:c>
      <x:c r="K100" s="29" t="n">
        <x:f>IF($A100="","",IF($H100="Completed",$E100*$G100,0))</x:f>
        <x:v>66</x:v>
      </x:c>
      <x:c r="L100" s="29" t="n">
        <x:f>IF($A100="","",J100-K100)</x:f>
        <x:v>66</x:v>
      </x:c>
    </x:row>
    <x:row r="101">
      <x:c r="A101" t="str">
        <x:v>ORD-0103</x:v>
      </x:c>
      <x:c r="B101" t="str">
        <x:v>2026-09-19</x:v>
      </x:c>
      <x:c r="C101" t="str">
        <x:v>Water Bottle</x:v>
      </x:c>
      <x:c r="D101" t="str">
        <x:v>Accessories</x:v>
      </x:c>
      <x:c r="E101" t="n">
        <x:v>1</x:v>
      </x:c>
      <x:c r="F101" s="26" t="n">
        <x:v>24</x:v>
      </x:c>
      <x:c r="G101" s="26" t="n">
        <x:v>9.2</x:v>
      </x:c>
      <x:c r="H101" t="str">
        <x:v>Completed</x:v>
      </x:c>
      <x:c r="I101" s="28" t="str">
        <x:f>IF($A101="","",IF(ISNUMBER($B101),TEXT($B101,"yyyy-mm"),LEFT($B101,7)))</x:f>
        <x:v>2026-09</x:v>
      </x:c>
      <x:c r="J101" s="29" t="n">
        <x:f>IF($A101="","",IF($H101="Completed",$E101*$F101,0))</x:f>
        <x:v>24</x:v>
      </x:c>
      <x:c r="K101" s="29" t="n">
        <x:f>IF($A101="","",IF($H101="Completed",$E101*$G101,0))</x:f>
        <x:v>9.2</x:v>
      </x:c>
      <x:c r="L101" s="29" t="n">
        <x:f>IF($A101="","",J101-K101)</x:f>
        <x:v>14.8</x:v>
      </x:c>
    </x:row>
    <x:row r="102">
      <x:c r="A102" t="str">
        <x:v>ORD-0131</x:v>
      </x:c>
      <x:c r="B102" t="str">
        <x:v>2026-09-19</x:v>
      </x:c>
      <x:c r="C102" t="str">
        <x:v>Ceramic Mug</x:v>
      </x:c>
      <x:c r="D102" t="str">
        <x:v>Home</x:v>
      </x:c>
      <x:c r="E102" t="n">
        <x:v>1</x:v>
      </x:c>
      <x:c r="F102" s="26" t="n">
        <x:v>22</x:v>
      </x:c>
      <x:c r="G102" s="26" t="n">
        <x:v>8.4</x:v>
      </x:c>
      <x:c r="H102" t="str">
        <x:v>Completed</x:v>
      </x:c>
      <x:c r="I102" s="28" t="str">
        <x:f>IF($A102="","",IF(ISNUMBER($B102),TEXT($B102,"yyyy-mm"),LEFT($B102,7)))</x:f>
        <x:v>2026-09</x:v>
      </x:c>
      <x:c r="J102" s="29" t="n">
        <x:f>IF($A102="","",IF($H102="Completed",$E102*$F102,0))</x:f>
        <x:v>22</x:v>
      </x:c>
      <x:c r="K102" s="29" t="n">
        <x:f>IF($A102="","",IF($H102="Completed",$E102*$G102,0))</x:f>
        <x:v>8.4</x:v>
      </x:c>
      <x:c r="L102" s="29" t="n">
        <x:f>IF($A102="","",J102-K102)</x:f>
        <x:v>13.6</x:v>
      </x:c>
    </x:row>
    <x:row r="103">
      <x:c r="A103" t="str">
        <x:v>ORD-0079</x:v>
      </x:c>
      <x:c r="B103" t="str">
        <x:v>2026-09-20</x:v>
      </x:c>
      <x:c r="C103" t="str">
        <x:v>Ceramic Mug</x:v>
      </x:c>
      <x:c r="D103" t="str">
        <x:v>Home</x:v>
      </x:c>
      <x:c r="E103" t="n">
        <x:v>4</x:v>
      </x:c>
      <x:c r="F103" s="26" t="n">
        <x:v>22</x:v>
      </x:c>
      <x:c r="G103" s="26" t="n">
        <x:v>8.4</x:v>
      </x:c>
      <x:c r="H103" t="str">
        <x:v>Completed</x:v>
      </x:c>
      <x:c r="I103" s="28" t="str">
        <x:f>IF($A103="","",IF(ISNUMBER($B103),TEXT($B103,"yyyy-mm"),LEFT($B103,7)))</x:f>
        <x:v>2026-09</x:v>
      </x:c>
      <x:c r="J103" s="29" t="n">
        <x:f>IF($A103="","",IF($H103="Completed",$E103*$F103,0))</x:f>
        <x:v>88</x:v>
      </x:c>
      <x:c r="K103" s="29" t="n">
        <x:f>IF($A103="","",IF($H103="Completed",$E103*$G103,0))</x:f>
        <x:v>33.6</x:v>
      </x:c>
      <x:c r="L103" s="29" t="n">
        <x:f>IF($A103="","",J103-K103)</x:f>
        <x:v>54.4</x:v>
      </x:c>
    </x:row>
    <x:row r="104">
      <x:c r="A104" t="str">
        <x:v>ORD-0090</x:v>
      </x:c>
      <x:c r="B104" t="str">
        <x:v>2026-09-20</x:v>
      </x:c>
      <x:c r="C104" t="str">
        <x:v>Ceramic Mug</x:v>
      </x:c>
      <x:c r="D104" t="str">
        <x:v>Home</x:v>
      </x:c>
      <x:c r="E104" t="n">
        <x:v>4</x:v>
      </x:c>
      <x:c r="F104" s="26" t="n">
        <x:v>22</x:v>
      </x:c>
      <x:c r="G104" s="26" t="n">
        <x:v>8.4</x:v>
      </x:c>
      <x:c r="H104" t="str">
        <x:v>Completed</x:v>
      </x:c>
      <x:c r="I104" s="28" t="str">
        <x:f>IF($A104="","",IF(ISNUMBER($B104),TEXT($B104,"yyyy-mm"),LEFT($B104,7)))</x:f>
        <x:v>2026-09</x:v>
      </x:c>
      <x:c r="J104" s="29" t="n">
        <x:f>IF($A104="","",IF($H104="Completed",$E104*$F104,0))</x:f>
        <x:v>88</x:v>
      </x:c>
      <x:c r="K104" s="29" t="n">
        <x:f>IF($A104="","",IF($H104="Completed",$E104*$G104,0))</x:f>
        <x:v>33.6</x:v>
      </x:c>
      <x:c r="L104" s="29" t="n">
        <x:f>IF($A104="","",J104-K104)</x:f>
        <x:v>54.4</x:v>
      </x:c>
    </x:row>
    <x:row r="105">
      <x:c r="A105" t="str">
        <x:v>ORD-0115</x:v>
      </x:c>
      <x:c r="B105" t="str">
        <x:v>2026-09-20</x:v>
      </x:c>
      <x:c r="C105" t="str">
        <x:v>Phone Stand</x:v>
      </x:c>
      <x:c r="D105" t="str">
        <x:v>Accessories</x:v>
      </x:c>
      <x:c r="E105" t="n">
        <x:v>2</x:v>
      </x:c>
      <x:c r="F105" s="26" t="n">
        <x:v>28</x:v>
      </x:c>
      <x:c r="G105" s="26" t="n">
        <x:v>11.7</x:v>
      </x:c>
      <x:c r="H105" t="str">
        <x:v>Completed</x:v>
      </x:c>
      <x:c r="I105" s="28" t="str">
        <x:f>IF($A105="","",IF(ISNUMBER($B105),TEXT($B105,"yyyy-mm"),LEFT($B105,7)))</x:f>
        <x:v>2026-09</x:v>
      </x:c>
      <x:c r="J105" s="29" t="n">
        <x:f>IF($A105="","",IF($H105="Completed",$E105*$F105,0))</x:f>
        <x:v>56</x:v>
      </x:c>
      <x:c r="K105" s="29" t="n">
        <x:f>IF($A105="","",IF($H105="Completed",$E105*$G105,0))</x:f>
        <x:v>23.4</x:v>
      </x:c>
      <x:c r="L105" s="29" t="n">
        <x:f>IF($A105="","",J105-K105)</x:f>
        <x:v>32.6</x:v>
      </x:c>
    </x:row>
    <x:row r="106">
      <x:c r="A106" t="str">
        <x:v>ORD-0023</x:v>
      </x:c>
      <x:c r="B106" t="str">
        <x:v>2026-09-21</x:v>
      </x:c>
      <x:c r="C106" t="str">
        <x:v>Pen Set</x:v>
      </x:c>
      <x:c r="D106" t="str">
        <x:v>Stationery</x:v>
      </x:c>
      <x:c r="E106" t="n">
        <x:v>2</x:v>
      </x:c>
      <x:c r="F106" s="26" t="n">
        <x:v>15</x:v>
      </x:c>
      <x:c r="G106" s="26" t="n">
        <x:v>5</x:v>
      </x:c>
      <x:c r="H106" t="str">
        <x:v>Completed</x:v>
      </x:c>
      <x:c r="I106" s="28" t="str">
        <x:f>IF($A106="","",IF(ISNUMBER($B106),TEXT($B106,"yyyy-mm"),LEFT($B106,7)))</x:f>
        <x:v>2026-09</x:v>
      </x:c>
      <x:c r="J106" s="29" t="n">
        <x:f>IF($A106="","",IF($H106="Completed",$E106*$F106,0))</x:f>
        <x:v>30</x:v>
      </x:c>
      <x:c r="K106" s="29" t="n">
        <x:f>IF($A106="","",IF($H106="Completed",$E106*$G106,0))</x:f>
        <x:v>10</x:v>
      </x:c>
      <x:c r="L106" s="29" t="n">
        <x:f>IF($A106="","",J106-K106)</x:f>
        <x:v>20</x:v>
      </x:c>
    </x:row>
    <x:row r="107">
      <x:c r="A107" t="str">
        <x:v>ORD-0114</x:v>
      </x:c>
      <x:c r="B107" t="str">
        <x:v>2026-09-21</x:v>
      </x:c>
      <x:c r="C107" t="str">
        <x:v>Canvas Tote</x:v>
      </x:c>
      <x:c r="D107" t="str">
        <x:v>Accessories</x:v>
      </x:c>
      <x:c r="E107" t="n">
        <x:v>3</x:v>
      </x:c>
      <x:c r="F107" s="26" t="n">
        <x:v>18</x:v>
      </x:c>
      <x:c r="G107" s="26" t="n">
        <x:v>6.3</x:v>
      </x:c>
      <x:c r="H107" t="str">
        <x:v>Completed</x:v>
      </x:c>
      <x:c r="I107" s="28" t="str">
        <x:f>IF($A107="","",IF(ISNUMBER($B107),TEXT($B107,"yyyy-mm"),LEFT($B107,7)))</x:f>
        <x:v>2026-09</x:v>
      </x:c>
      <x:c r="J107" s="29" t="n">
        <x:f>IF($A107="","",IF($H107="Completed",$E107*$F107,0))</x:f>
        <x:v>54</x:v>
      </x:c>
      <x:c r="K107" s="29" t="n">
        <x:f>IF($A107="","",IF($H107="Completed",$E107*$G107,0))</x:f>
        <x:v>18.9</x:v>
      </x:c>
      <x:c r="L107" s="29" t="n">
        <x:f>IF($A107="","",J107-K107)</x:f>
        <x:v>35.1</x:v>
      </x:c>
    </x:row>
    <x:row r="108">
      <x:c r="A108" t="str">
        <x:v>ORD-0047</x:v>
      </x:c>
      <x:c r="B108" t="str">
        <x:v>2026-09-22</x:v>
      </x:c>
      <x:c r="C108" t="str">
        <x:v>Canvas Tote</x:v>
      </x:c>
      <x:c r="D108" t="str">
        <x:v>Accessories</x:v>
      </x:c>
      <x:c r="E108" t="n">
        <x:v>3</x:v>
      </x:c>
      <x:c r="F108" s="26" t="n">
        <x:v>18</x:v>
      </x:c>
      <x:c r="G108" s="26" t="n">
        <x:v>6.3</x:v>
      </x:c>
      <x:c r="H108" t="str">
        <x:v>Completed</x:v>
      </x:c>
      <x:c r="I108" s="28" t="str">
        <x:f>IF($A108="","",IF(ISNUMBER($B108),TEXT($B108,"yyyy-mm"),LEFT($B108,7)))</x:f>
        <x:v>2026-09</x:v>
      </x:c>
      <x:c r="J108" s="29" t="n">
        <x:f>IF($A108="","",IF($H108="Completed",$E108*$F108,0))</x:f>
        <x:v>54</x:v>
      </x:c>
      <x:c r="K108" s="29" t="n">
        <x:f>IF($A108="","",IF($H108="Completed",$E108*$G108,0))</x:f>
        <x:v>18.9</x:v>
      </x:c>
      <x:c r="L108" s="29" t="n">
        <x:f>IF($A108="","",J108-K108)</x:f>
        <x:v>35.1</x:v>
      </x:c>
    </x:row>
    <x:row r="109">
      <x:c r="A109" t="str">
        <x:v>ORD-0100</x:v>
      </x:c>
      <x:c r="B109" t="str">
        <x:v>2026-09-23</x:v>
      </x:c>
      <x:c r="C109" t="str">
        <x:v>Canvas Tote</x:v>
      </x:c>
      <x:c r="D109" t="str">
        <x:v>Accessories</x:v>
      </x:c>
      <x:c r="E109" t="n">
        <x:v>1</x:v>
      </x:c>
      <x:c r="F109" s="26" t="n">
        <x:v>18</x:v>
      </x:c>
      <x:c r="G109" s="26" t="n">
        <x:v>6.3</x:v>
      </x:c>
      <x:c r="H109" t="str">
        <x:v>Completed</x:v>
      </x:c>
      <x:c r="I109" s="28" t="str">
        <x:f>IF($A109="","",IF(ISNUMBER($B109),TEXT($B109,"yyyy-mm"),LEFT($B109,7)))</x:f>
        <x:v>2026-09</x:v>
      </x:c>
      <x:c r="J109" s="29" t="n">
        <x:f>IF($A109="","",IF($H109="Completed",$E109*$F109,0))</x:f>
        <x:v>18</x:v>
      </x:c>
      <x:c r="K109" s="29" t="n">
        <x:f>IF($A109="","",IF($H109="Completed",$E109*$G109,0))</x:f>
        <x:v>6.3</x:v>
      </x:c>
      <x:c r="L109" s="29" t="n">
        <x:f>IF($A109="","",J109-K109)</x:f>
        <x:v>11.7</x:v>
      </x:c>
    </x:row>
    <x:row r="110">
      <x:c r="A110" t="str">
        <x:v>ORD-0005</x:v>
      </x:c>
      <x:c r="B110" t="str">
        <x:v>2026-09-24</x:v>
      </x:c>
      <x:c r="C110" t="str">
        <x:v>Pen Set</x:v>
      </x:c>
      <x:c r="D110" t="str">
        <x:v>Stationery</x:v>
      </x:c>
      <x:c r="E110" t="n">
        <x:v>4</x:v>
      </x:c>
      <x:c r="F110" s="26" t="n">
        <x:v>15</x:v>
      </x:c>
      <x:c r="G110" s="26" t="n">
        <x:v>5</x:v>
      </x:c>
      <x:c r="H110" t="str">
        <x:v>Completed</x:v>
      </x:c>
      <x:c r="I110" s="28" t="str">
        <x:f>IF($A110="","",IF(ISNUMBER($B110),TEXT($B110,"yyyy-mm"),LEFT($B110,7)))</x:f>
        <x:v>2026-09</x:v>
      </x:c>
      <x:c r="J110" s="29" t="n">
        <x:f>IF($A110="","",IF($H110="Completed",$E110*$F110,0))</x:f>
        <x:v>60</x:v>
      </x:c>
      <x:c r="K110" s="29" t="n">
        <x:f>IF($A110="","",IF($H110="Completed",$E110*$G110,0))</x:f>
        <x:v>20</x:v>
      </x:c>
      <x:c r="L110" s="29" t="n">
        <x:f>IF($A110="","",J110-K110)</x:f>
        <x:v>40</x:v>
      </x:c>
    </x:row>
    <x:row r="111">
      <x:c r="A111" t="str">
        <x:v>ORD-0082</x:v>
      </x:c>
      <x:c r="B111" t="str">
        <x:v>2026-09-24</x:v>
      </x:c>
      <x:c r="C111" t="str">
        <x:v>Ceramic Mug</x:v>
      </x:c>
      <x:c r="D111" t="str">
        <x:v>Home</x:v>
      </x:c>
      <x:c r="E111" t="n">
        <x:v>3</x:v>
      </x:c>
      <x:c r="F111" s="26" t="n">
        <x:v>22</x:v>
      </x:c>
      <x:c r="G111" s="26" t="n">
        <x:v>8.4</x:v>
      </x:c>
      <x:c r="H111" t="str">
        <x:v>Completed</x:v>
      </x:c>
      <x:c r="I111" s="28" t="str">
        <x:f>IF($A111="","",IF(ISNUMBER($B111),TEXT($B111,"yyyy-mm"),LEFT($B111,7)))</x:f>
        <x:v>2026-09</x:v>
      </x:c>
      <x:c r="J111" s="29" t="n">
        <x:f>IF($A111="","",IF($H111="Completed",$E111*$F111,0))</x:f>
        <x:v>66</x:v>
      </x:c>
      <x:c r="K111" s="29" t="n">
        <x:f>IF($A111="","",IF($H111="Completed",$E111*$G111,0))</x:f>
        <x:v>25.200000000000003</x:v>
      </x:c>
      <x:c r="L111" s="29" t="n">
        <x:f>IF($A111="","",J111-K111)</x:f>
        <x:v>40.8</x:v>
      </x:c>
    </x:row>
    <x:row r="112">
      <x:c r="A112" t="str">
        <x:v>ORD-0029</x:v>
      </x:c>
      <x:c r="B112" t="str">
        <x:v>2026-09-27</x:v>
      </x:c>
      <x:c r="C112" t="str">
        <x:v>Ceramic Mug</x:v>
      </x:c>
      <x:c r="D112" t="str">
        <x:v>Home</x:v>
      </x:c>
      <x:c r="E112" t="n">
        <x:v>1</x:v>
      </x:c>
      <x:c r="F112" s="26" t="n">
        <x:v>22</x:v>
      </x:c>
      <x:c r="G112" s="26" t="n">
        <x:v>8.4</x:v>
      </x:c>
      <x:c r="H112" t="str">
        <x:v>Completed</x:v>
      </x:c>
      <x:c r="I112" s="28" t="str">
        <x:f>IF($A112="","",IF(ISNUMBER($B112),TEXT($B112,"yyyy-mm"),LEFT($B112,7)))</x:f>
        <x:v>2026-09</x:v>
      </x:c>
      <x:c r="J112" s="29" t="n">
        <x:f>IF($A112="","",IF($H112="Completed",$E112*$F112,0))</x:f>
        <x:v>22</x:v>
      </x:c>
      <x:c r="K112" s="29" t="n">
        <x:f>IF($A112="","",IF($H112="Completed",$E112*$G112,0))</x:f>
        <x:v>8.4</x:v>
      </x:c>
      <x:c r="L112" s="29" t="n">
        <x:f>IF($A112="","",J112-K112)</x:f>
        <x:v>13.6</x:v>
      </x:c>
    </x:row>
    <x:row r="113">
      <x:c r="A113" t="str">
        <x:v>ORD-0042</x:v>
      </x:c>
      <x:c r="B113" t="str">
        <x:v>2026-09-27</x:v>
      </x:c>
      <x:c r="C113" t="str">
        <x:v>Water Bottle</x:v>
      </x:c>
      <x:c r="D113" t="str">
        <x:v>Accessories</x:v>
      </x:c>
      <x:c r="E113" t="n">
        <x:v>3</x:v>
      </x:c>
      <x:c r="F113" s="26" t="n">
        <x:v>24</x:v>
      </x:c>
      <x:c r="G113" s="26" t="n">
        <x:v>9.2</x:v>
      </x:c>
      <x:c r="H113" t="str">
        <x:v>Completed</x:v>
      </x:c>
      <x:c r="I113" s="28" t="str">
        <x:f>IF($A113="","",IF(ISNUMBER($B113),TEXT($B113,"yyyy-mm"),LEFT($B113,7)))</x:f>
        <x:v>2026-09</x:v>
      </x:c>
      <x:c r="J113" s="29" t="n">
        <x:f>IF($A113="","",IF($H113="Completed",$E113*$F113,0))</x:f>
        <x:v>72</x:v>
      </x:c>
      <x:c r="K113" s="29" t="n">
        <x:f>IF($A113="","",IF($H113="Completed",$E113*$G113,0))</x:f>
        <x:v>27.599999999999998</x:v>
      </x:c>
      <x:c r="L113" s="29" t="n">
        <x:f>IF($A113="","",J113-K113)</x:f>
        <x:v>44.400000000000006</x:v>
      </x:c>
    </x:row>
    <x:row r="114">
      <x:c r="A114" t="str">
        <x:v>ORD-0048</x:v>
      </x:c>
      <x:c r="B114" t="str">
        <x:v>2026-09-27</x:v>
      </x:c>
      <x:c r="C114" t="str">
        <x:v>Planner</x:v>
      </x:c>
      <x:c r="D114" t="str">
        <x:v>Stationery</x:v>
      </x:c>
      <x:c r="E114" t="n">
        <x:v>1</x:v>
      </x:c>
      <x:c r="F114" s="26" t="n">
        <x:v>21</x:v>
      </x:c>
      <x:c r="G114" s="26" t="n">
        <x:v>7.9</x:v>
      </x:c>
      <x:c r="H114" t="str">
        <x:v>Completed</x:v>
      </x:c>
      <x:c r="I114" s="28" t="str">
        <x:f>IF($A114="","",IF(ISNUMBER($B114),TEXT($B114,"yyyy-mm"),LEFT($B114,7)))</x:f>
        <x:v>2026-09</x:v>
      </x:c>
      <x:c r="J114" s="29" t="n">
        <x:f>IF($A114="","",IF($H114="Completed",$E114*$F114,0))</x:f>
        <x:v>21</x:v>
      </x:c>
      <x:c r="K114" s="29" t="n">
        <x:f>IF($A114="","",IF($H114="Completed",$E114*$G114,0))</x:f>
        <x:v>7.9</x:v>
      </x:c>
      <x:c r="L114" s="29" t="n">
        <x:f>IF($A114="","",J114-K114)</x:f>
        <x:v>13.1</x:v>
      </x:c>
    </x:row>
    <x:row r="115">
      <x:c r="A115" t="str">
        <x:v>ORD-0120</x:v>
      </x:c>
      <x:c r="B115" t="str">
        <x:v>2026-09-28</x:v>
      </x:c>
      <x:c r="C115" t="str">
        <x:v>Desk Lamp</x:v>
      </x:c>
      <x:c r="D115" t="str">
        <x:v>Home</x:v>
      </x:c>
      <x:c r="E115" t="n">
        <x:v>2</x:v>
      </x:c>
      <x:c r="F115" s="26" t="n">
        <x:v>44</x:v>
      </x:c>
      <x:c r="G115" s="26" t="n">
        <x:v>22</x:v>
      </x:c>
      <x:c r="H115" t="str">
        <x:v>Completed</x:v>
      </x:c>
      <x:c r="I115" s="28" t="str">
        <x:f>IF($A115="","",IF(ISNUMBER($B115),TEXT($B115,"yyyy-mm"),LEFT($B115,7)))</x:f>
        <x:v>2026-09</x:v>
      </x:c>
      <x:c r="J115" s="29" t="n">
        <x:f>IF($A115="","",IF($H115="Completed",$E115*$F115,0))</x:f>
        <x:v>88</x:v>
      </x:c>
      <x:c r="K115" s="29" t="n">
        <x:f>IF($A115="","",IF($H115="Completed",$E115*$G115,0))</x:f>
        <x:v>44</x:v>
      </x:c>
      <x:c r="L115" s="29" t="n">
        <x:f>IF($A115="","",J115-K115)</x:f>
        <x:v>44</x:v>
      </x:c>
    </x:row>
    <x:row r="116">
      <x:c r="A116" t="str">
        <x:v>ORD-0096</x:v>
      </x:c>
      <x:c r="B116" t="str">
        <x:v>2026-09-30</x:v>
      </x:c>
      <x:c r="C116" t="str">
        <x:v>Water Bottle</x:v>
      </x:c>
      <x:c r="D116" t="str">
        <x:v>Accessories</x:v>
      </x:c>
      <x:c r="E116" t="n">
        <x:v>3</x:v>
      </x:c>
      <x:c r="F116" s="26" t="n">
        <x:v>24</x:v>
      </x:c>
      <x:c r="G116" s="26" t="n">
        <x:v>9.2</x:v>
      </x:c>
      <x:c r="H116" t="str">
        <x:v>Completed</x:v>
      </x:c>
      <x:c r="I116" s="28" t="str">
        <x:f>IF($A116="","",IF(ISNUMBER($B116),TEXT($B116,"yyyy-mm"),LEFT($B116,7)))</x:f>
        <x:v>2026-09</x:v>
      </x:c>
      <x:c r="J116" s="29" t="n">
        <x:f>IF($A116="","",IF($H116="Completed",$E116*$F116,0))</x:f>
        <x:v>72</x:v>
      </x:c>
      <x:c r="K116" s="29" t="n">
        <x:f>IF($A116="","",IF($H116="Completed",$E116*$G116,0))</x:f>
        <x:v>27.599999999999998</x:v>
      </x:c>
      <x:c r="L116" s="29" t="n">
        <x:f>IF($A116="","",J116-K116)</x:f>
        <x:v>44.400000000000006</x:v>
      </x:c>
    </x:row>
    <x:row r="117">
      <x:c r="A117" t="str">
        <x:v>ORD-0077</x:v>
      </x:c>
      <x:c r="B117" t="str">
        <x:v>2026-10-01</x:v>
      </x:c>
      <x:c r="C117" t="str">
        <x:v>Planner</x:v>
      </x:c>
      <x:c r="D117" t="str">
        <x:v>Stationery</x:v>
      </x:c>
      <x:c r="E117" t="n">
        <x:v>3</x:v>
      </x:c>
      <x:c r="F117" s="26" t="n">
        <x:v>21</x:v>
      </x:c>
      <x:c r="G117" s="26" t="n">
        <x:v>7.9</x:v>
      </x:c>
      <x:c r="H117" t="str">
        <x:v>Completed</x:v>
      </x:c>
      <x:c r="I117" s="28" t="str">
        <x:f>IF($A117="","",IF(ISNUMBER($B117),TEXT($B117,"yyyy-mm"),LEFT($B117,7)))</x:f>
        <x:v>2026-10</x:v>
      </x:c>
      <x:c r="J117" s="29" t="n">
        <x:f>IF($A117="","",IF($H117="Completed",$E117*$F117,0))</x:f>
        <x:v>63</x:v>
      </x:c>
      <x:c r="K117" s="29" t="n">
        <x:f>IF($A117="","",IF($H117="Completed",$E117*$G117,0))</x:f>
        <x:v>23.700000000000003</x:v>
      </x:c>
      <x:c r="L117" s="29" t="n">
        <x:f>IF($A117="","",J117-K117)</x:f>
        <x:v>39.3</x:v>
      </x:c>
    </x:row>
    <x:row r="118">
      <x:c r="A118" t="str">
        <x:v>ORD-0003</x:v>
      </x:c>
      <x:c r="B118" t="str">
        <x:v>2026-10-02</x:v>
      </x:c>
      <x:c r="C118" t="str">
        <x:v>Notebook</x:v>
      </x:c>
      <x:c r="D118" t="str">
        <x:v>Stationery</x:v>
      </x:c>
      <x:c r="E118" t="n">
        <x:v>1</x:v>
      </x:c>
      <x:c r="F118" s="26" t="n">
        <x:v>12</x:v>
      </x:c>
      <x:c r="G118" s="26" t="n">
        <x:v>4.1</x:v>
      </x:c>
      <x:c r="H118" t="str">
        <x:v>Completed</x:v>
      </x:c>
      <x:c r="I118" s="28" t="str">
        <x:f>IF($A118="","",IF(ISNUMBER($B118),TEXT($B118,"yyyy-mm"),LEFT($B118,7)))</x:f>
        <x:v>2026-10</x:v>
      </x:c>
      <x:c r="J118" s="29" t="n">
        <x:f>IF($A118="","",IF($H118="Completed",$E118*$F118,0))</x:f>
        <x:v>12</x:v>
      </x:c>
      <x:c r="K118" s="29" t="n">
        <x:f>IF($A118="","",IF($H118="Completed",$E118*$G118,0))</x:f>
        <x:v>4.1</x:v>
      </x:c>
      <x:c r="L118" s="29" t="n">
        <x:f>IF($A118="","",J118-K118)</x:f>
        <x:v>7.9</x:v>
      </x:c>
    </x:row>
    <x:row r="119">
      <x:c r="A119" t="str">
        <x:v>ORD-0027</x:v>
      </x:c>
      <x:c r="B119" t="str">
        <x:v>2026-10-02</x:v>
      </x:c>
      <x:c r="C119" t="str">
        <x:v>Ceramic Mug</x:v>
      </x:c>
      <x:c r="D119" t="str">
        <x:v>Home</x:v>
      </x:c>
      <x:c r="E119" t="n">
        <x:v>2</x:v>
      </x:c>
      <x:c r="F119" s="26" t="n">
        <x:v>22</x:v>
      </x:c>
      <x:c r="G119" s="26" t="n">
        <x:v>8.4</x:v>
      </x:c>
      <x:c r="H119" t="str">
        <x:v>Completed</x:v>
      </x:c>
      <x:c r="I119" s="28" t="str">
        <x:f>IF($A119="","",IF(ISNUMBER($B119),TEXT($B119,"yyyy-mm"),LEFT($B119,7)))</x:f>
        <x:v>2026-10</x:v>
      </x:c>
      <x:c r="J119" s="29" t="n">
        <x:f>IF($A119="","",IF($H119="Completed",$E119*$F119,0))</x:f>
        <x:v>44</x:v>
      </x:c>
      <x:c r="K119" s="29" t="n">
        <x:f>IF($A119="","",IF($H119="Completed",$E119*$G119,0))</x:f>
        <x:v>16.8</x:v>
      </x:c>
      <x:c r="L119" s="29" t="n">
        <x:f>IF($A119="","",J119-K119)</x:f>
        <x:v>27.2</x:v>
      </x:c>
    </x:row>
    <x:row r="120">
      <x:c r="A120" t="str">
        <x:v>ORD-0066</x:v>
      </x:c>
      <x:c r="B120" t="str">
        <x:v>2026-10-02</x:v>
      </x:c>
      <x:c r="C120" t="str">
        <x:v>Notebook</x:v>
      </x:c>
      <x:c r="D120" t="str">
        <x:v>Stationery</x:v>
      </x:c>
      <x:c r="E120" t="n">
        <x:v>3</x:v>
      </x:c>
      <x:c r="F120" s="26" t="n">
        <x:v>12</x:v>
      </x:c>
      <x:c r="G120" s="26" t="n">
        <x:v>4.1</x:v>
      </x:c>
      <x:c r="H120" t="str">
        <x:v>Completed</x:v>
      </x:c>
      <x:c r="I120" s="28" t="str">
        <x:f>IF($A120="","",IF(ISNUMBER($B120),TEXT($B120,"yyyy-mm"),LEFT($B120,7)))</x:f>
        <x:v>2026-10</x:v>
      </x:c>
      <x:c r="J120" s="29" t="n">
        <x:f>IF($A120="","",IF($H120="Completed",$E120*$F120,0))</x:f>
        <x:v>36</x:v>
      </x:c>
      <x:c r="K120" s="29" t="n">
        <x:f>IF($A120="","",IF($H120="Completed",$E120*$G120,0))</x:f>
        <x:v>12.299999999999999</x:v>
      </x:c>
      <x:c r="L120" s="29" t="n">
        <x:f>IF($A120="","",J120-K120)</x:f>
        <x:v>23.700000000000003</x:v>
      </x:c>
    </x:row>
    <x:row r="121">
      <x:c r="A121" t="str">
        <x:v>ORD-0097</x:v>
      </x:c>
      <x:c r="B121" t="str">
        <x:v>2026-10-03</x:v>
      </x:c>
      <x:c r="C121" t="str">
        <x:v>Desk Lamp</x:v>
      </x:c>
      <x:c r="D121" t="str">
        <x:v>Home</x:v>
      </x:c>
      <x:c r="E121" t="n">
        <x:v>3</x:v>
      </x:c>
      <x:c r="F121" s="26" t="n">
        <x:v>44</x:v>
      </x:c>
      <x:c r="G121" s="26" t="n">
        <x:v>22</x:v>
      </x:c>
      <x:c r="H121" t="str">
        <x:v>Completed</x:v>
      </x:c>
      <x:c r="I121" s="28" t="str">
        <x:f>IF($A121="","",IF(ISNUMBER($B121),TEXT($B121,"yyyy-mm"),LEFT($B121,7)))</x:f>
        <x:v>2026-10</x:v>
      </x:c>
      <x:c r="J121" s="29" t="n">
        <x:f>IF($A121="","",IF($H121="Completed",$E121*$F121,0))</x:f>
        <x:v>132</x:v>
      </x:c>
      <x:c r="K121" s="29" t="n">
        <x:f>IF($A121="","",IF($H121="Completed",$E121*$G121,0))</x:f>
        <x:v>66</x:v>
      </x:c>
      <x:c r="L121" s="29" t="n">
        <x:f>IF($A121="","",J121-K121)</x:f>
        <x:v>66</x:v>
      </x:c>
    </x:row>
    <x:row r="122">
      <x:c r="A122" t="str">
        <x:v>ORD-0010</x:v>
      </x:c>
      <x:c r="B122" t="str">
        <x:v>2026-10-06</x:v>
      </x:c>
      <x:c r="C122" t="str">
        <x:v>Phone Stand</x:v>
      </x:c>
      <x:c r="D122" t="str">
        <x:v>Accessories</x:v>
      </x:c>
      <x:c r="E122" t="n">
        <x:v>4</x:v>
      </x:c>
      <x:c r="F122" s="26" t="n">
        <x:v>28</x:v>
      </x:c>
      <x:c r="G122" s="26" t="n">
        <x:v>11.7</x:v>
      </x:c>
      <x:c r="H122" t="str">
        <x:v>Completed</x:v>
      </x:c>
      <x:c r="I122" s="28" t="str">
        <x:f>IF($A122="","",IF(ISNUMBER($B122),TEXT($B122,"yyyy-mm"),LEFT($B122,7)))</x:f>
        <x:v>2026-10</x:v>
      </x:c>
      <x:c r="J122" s="29" t="n">
        <x:f>IF($A122="","",IF($H122="Completed",$E122*$F122,0))</x:f>
        <x:v>112</x:v>
      </x:c>
      <x:c r="K122" s="29" t="n">
        <x:f>IF($A122="","",IF($H122="Completed",$E122*$G122,0))</x:f>
        <x:v>46.8</x:v>
      </x:c>
      <x:c r="L122" s="29" t="n">
        <x:f>IF($A122="","",J122-K122)</x:f>
        <x:v>65.2</x:v>
      </x:c>
    </x:row>
    <x:row r="123">
      <x:c r="A123" t="str">
        <x:v>ORD-0070</x:v>
      </x:c>
      <x:c r="B123" t="str">
        <x:v>2026-10-08</x:v>
      </x:c>
      <x:c r="C123" t="str">
        <x:v>Phone Stand</x:v>
      </x:c>
      <x:c r="D123" t="str">
        <x:v>Accessories</x:v>
      </x:c>
      <x:c r="E123" t="n">
        <x:v>4</x:v>
      </x:c>
      <x:c r="F123" s="26" t="n">
        <x:v>28</x:v>
      </x:c>
      <x:c r="G123" s="26" t="n">
        <x:v>11.7</x:v>
      </x:c>
      <x:c r="H123" t="str">
        <x:v>Completed</x:v>
      </x:c>
      <x:c r="I123" s="28" t="str">
        <x:f>IF($A123="","",IF(ISNUMBER($B123),TEXT($B123,"yyyy-mm"),LEFT($B123,7)))</x:f>
        <x:v>2026-10</x:v>
      </x:c>
      <x:c r="J123" s="29" t="n">
        <x:f>IF($A123="","",IF($H123="Completed",$E123*$F123,0))</x:f>
        <x:v>112</x:v>
      </x:c>
      <x:c r="K123" s="29" t="n">
        <x:f>IF($A123="","",IF($H123="Completed",$E123*$G123,0))</x:f>
        <x:v>46.8</x:v>
      </x:c>
      <x:c r="L123" s="29" t="n">
        <x:f>IF($A123="","",J123-K123)</x:f>
        <x:v>65.2</x:v>
      </x:c>
    </x:row>
    <x:row r="124">
      <x:c r="A124" t="str">
        <x:v>ORD-0130</x:v>
      </x:c>
      <x:c r="B124" t="str">
        <x:v>2026-10-08</x:v>
      </x:c>
      <x:c r="C124" t="str">
        <x:v>Desk Lamp</x:v>
      </x:c>
      <x:c r="D124" t="str">
        <x:v>Home</x:v>
      </x:c>
      <x:c r="E124" t="n">
        <x:v>3</x:v>
      </x:c>
      <x:c r="F124" s="26" t="n">
        <x:v>44</x:v>
      </x:c>
      <x:c r="G124" s="26" t="n">
        <x:v>22</x:v>
      </x:c>
      <x:c r="H124" t="str">
        <x:v>Completed</x:v>
      </x:c>
      <x:c r="I124" s="28" t="str">
        <x:f>IF($A124="","",IF(ISNUMBER($B124),TEXT($B124,"yyyy-mm"),LEFT($B124,7)))</x:f>
        <x:v>2026-10</x:v>
      </x:c>
      <x:c r="J124" s="29" t="n">
        <x:f>IF($A124="","",IF($H124="Completed",$E124*$F124,0))</x:f>
        <x:v>132</x:v>
      </x:c>
      <x:c r="K124" s="29" t="n">
        <x:f>IF($A124="","",IF($H124="Completed",$E124*$G124,0))</x:f>
        <x:v>66</x:v>
      </x:c>
      <x:c r="L124" s="29" t="n">
        <x:f>IF($A124="","",J124-K124)</x:f>
        <x:v>66</x:v>
      </x:c>
    </x:row>
    <x:row r="125">
      <x:c r="A125" t="str">
        <x:v>ORD-0031</x:v>
      </x:c>
      <x:c r="B125" t="str">
        <x:v>2026-10-09</x:v>
      </x:c>
      <x:c r="C125" t="str">
        <x:v>Notebook</x:v>
      </x:c>
      <x:c r="D125" t="str">
        <x:v>Stationery</x:v>
      </x:c>
      <x:c r="E125" t="n">
        <x:v>2</x:v>
      </x:c>
      <x:c r="F125" s="26" t="n">
        <x:v>12</x:v>
      </x:c>
      <x:c r="G125" s="26" t="n">
        <x:v>4.1</x:v>
      </x:c>
      <x:c r="H125" t="str">
        <x:v>Completed</x:v>
      </x:c>
      <x:c r="I125" s="28" t="str">
        <x:f>IF($A125="","",IF(ISNUMBER($B125),TEXT($B125,"yyyy-mm"),LEFT($B125,7)))</x:f>
        <x:v>2026-10</x:v>
      </x:c>
      <x:c r="J125" s="29" t="n">
        <x:f>IF($A125="","",IF($H125="Completed",$E125*$F125,0))</x:f>
        <x:v>24</x:v>
      </x:c>
      <x:c r="K125" s="29" t="n">
        <x:f>IF($A125="","",IF($H125="Completed",$E125*$G125,0))</x:f>
        <x:v>8.2</x:v>
      </x:c>
      <x:c r="L125" s="29" t="n">
        <x:f>IF($A125="","",J125-K125)</x:f>
        <x:v>15.8</x:v>
      </x:c>
    </x:row>
    <x:row r="126">
      <x:c r="A126" t="str">
        <x:v>ORD-0035</x:v>
      </x:c>
      <x:c r="B126" t="str">
        <x:v>2026-10-09</x:v>
      </x:c>
      <x:c r="C126" t="str">
        <x:v>Notebook</x:v>
      </x:c>
      <x:c r="D126" t="str">
        <x:v>Stationery</x:v>
      </x:c>
      <x:c r="E126" t="n">
        <x:v>2</x:v>
      </x:c>
      <x:c r="F126" s="26" t="n">
        <x:v>12</x:v>
      </x:c>
      <x:c r="G126" s="26" t="n">
        <x:v>4.1</x:v>
      </x:c>
      <x:c r="H126" t="str">
        <x:v>Completed</x:v>
      </x:c>
      <x:c r="I126" s="28" t="str">
        <x:f>IF($A126="","",IF(ISNUMBER($B126),TEXT($B126,"yyyy-mm"),LEFT($B126,7)))</x:f>
        <x:v>2026-10</x:v>
      </x:c>
      <x:c r="J126" s="29" t="n">
        <x:f>IF($A126="","",IF($H126="Completed",$E126*$F126,0))</x:f>
        <x:v>24</x:v>
      </x:c>
      <x:c r="K126" s="29" t="n">
        <x:f>IF($A126="","",IF($H126="Completed",$E126*$G126,0))</x:f>
        <x:v>8.2</x:v>
      </x:c>
      <x:c r="L126" s="29" t="n">
        <x:f>IF($A126="","",J126-K126)</x:f>
        <x:v>15.8</x:v>
      </x:c>
    </x:row>
    <x:row r="127">
      <x:c r="A127" t="str">
        <x:v>ORD-0081</x:v>
      </x:c>
      <x:c r="B127" t="str">
        <x:v>2026-10-09</x:v>
      </x:c>
      <x:c r="C127" t="str">
        <x:v>Canvas Tote</x:v>
      </x:c>
      <x:c r="D127" t="str">
        <x:v>Accessories</x:v>
      </x:c>
      <x:c r="E127" t="n">
        <x:v>1</x:v>
      </x:c>
      <x:c r="F127" s="26" t="n">
        <x:v>18</x:v>
      </x:c>
      <x:c r="G127" s="26" t="n">
        <x:v>6.3</x:v>
      </x:c>
      <x:c r="H127" t="str">
        <x:v>Completed</x:v>
      </x:c>
      <x:c r="I127" s="28" t="str">
        <x:f>IF($A127="","",IF(ISNUMBER($B127),TEXT($B127,"yyyy-mm"),LEFT($B127,7)))</x:f>
        <x:v>2026-10</x:v>
      </x:c>
      <x:c r="J127" s="29" t="n">
        <x:f>IF($A127="","",IF($H127="Completed",$E127*$F127,0))</x:f>
        <x:v>18</x:v>
      </x:c>
      <x:c r="K127" s="29" t="n">
        <x:f>IF($A127="","",IF($H127="Completed",$E127*$G127,0))</x:f>
        <x:v>6.3</x:v>
      </x:c>
      <x:c r="L127" s="29" t="n">
        <x:f>IF($A127="","",J127-K127)</x:f>
        <x:v>11.7</x:v>
      </x:c>
    </x:row>
    <x:row r="128">
      <x:c r="A128" t="str">
        <x:v>ORD-0084</x:v>
      </x:c>
      <x:c r="B128" t="str">
        <x:v>2026-10-09</x:v>
      </x:c>
      <x:c r="C128" t="str">
        <x:v>Phone Stand</x:v>
      </x:c>
      <x:c r="D128" t="str">
        <x:v>Accessories</x:v>
      </x:c>
      <x:c r="E128" t="n">
        <x:v>3</x:v>
      </x:c>
      <x:c r="F128" s="26" t="n">
        <x:v>28</x:v>
      </x:c>
      <x:c r="G128" s="26" t="n">
        <x:v>11.7</x:v>
      </x:c>
      <x:c r="H128" t="str">
        <x:v>Completed</x:v>
      </x:c>
      <x:c r="I128" s="28" t="str">
        <x:f>IF($A128="","",IF(ISNUMBER($B128),TEXT($B128,"yyyy-mm"),LEFT($B128,7)))</x:f>
        <x:v>2026-10</x:v>
      </x:c>
      <x:c r="J128" s="29" t="n">
        <x:f>IF($A128="","",IF($H128="Completed",$E128*$F128,0))</x:f>
        <x:v>84</x:v>
      </x:c>
      <x:c r="K128" s="29" t="n">
        <x:f>IF($A128="","",IF($H128="Completed",$E128*$G128,0))</x:f>
        <x:v>35.099999999999994</x:v>
      </x:c>
      <x:c r="L128" s="29" t="n">
        <x:f>IF($A128="","",J128-K128)</x:f>
        <x:v>48.900000000000006</x:v>
      </x:c>
    </x:row>
    <x:row r="129">
      <x:c r="A129" t="str">
        <x:v>ORD-0123</x:v>
      </x:c>
      <x:c r="B129" t="str">
        <x:v>2026-10-12</x:v>
      </x:c>
      <x:c r="C129" t="str">
        <x:v>Desk Lamp</x:v>
      </x:c>
      <x:c r="D129" t="str">
        <x:v>Home</x:v>
      </x:c>
      <x:c r="E129" t="n">
        <x:v>3</x:v>
      </x:c>
      <x:c r="F129" s="26" t="n">
        <x:v>44</x:v>
      </x:c>
      <x:c r="G129" s="26" t="n">
        <x:v>22</x:v>
      </x:c>
      <x:c r="H129" t="str">
        <x:v>Completed</x:v>
      </x:c>
      <x:c r="I129" s="28" t="str">
        <x:f>IF($A129="","",IF(ISNUMBER($B129),TEXT($B129,"yyyy-mm"),LEFT($B129,7)))</x:f>
        <x:v>2026-10</x:v>
      </x:c>
      <x:c r="J129" s="29" t="n">
        <x:f>IF($A129="","",IF($H129="Completed",$E129*$F129,0))</x:f>
        <x:v>132</x:v>
      </x:c>
      <x:c r="K129" s="29" t="n">
        <x:f>IF($A129="","",IF($H129="Completed",$E129*$G129,0))</x:f>
        <x:v>66</x:v>
      </x:c>
      <x:c r="L129" s="29" t="n">
        <x:f>IF($A129="","",J129-K129)</x:f>
        <x:v>66</x:v>
      </x:c>
    </x:row>
    <x:row r="130">
      <x:c r="A130" t="str">
        <x:v>ORD-0094</x:v>
      </x:c>
      <x:c r="B130" t="str">
        <x:v>2026-10-13</x:v>
      </x:c>
      <x:c r="C130" t="str">
        <x:v>Water Bottle</x:v>
      </x:c>
      <x:c r="D130" t="str">
        <x:v>Accessories</x:v>
      </x:c>
      <x:c r="E130" t="n">
        <x:v>2</x:v>
      </x:c>
      <x:c r="F130" s="26" t="n">
        <x:v>24</x:v>
      </x:c>
      <x:c r="G130" s="26" t="n">
        <x:v>9.2</x:v>
      </x:c>
      <x:c r="H130" t="str">
        <x:v>Completed</x:v>
      </x:c>
      <x:c r="I130" s="28" t="str">
        <x:f>IF($A130="","",IF(ISNUMBER($B130),TEXT($B130,"yyyy-mm"),LEFT($B130,7)))</x:f>
        <x:v>2026-10</x:v>
      </x:c>
      <x:c r="J130" s="29" t="n">
        <x:f>IF($A130="","",IF($H130="Completed",$E130*$F130,0))</x:f>
        <x:v>48</x:v>
      </x:c>
      <x:c r="K130" s="29" t="n">
        <x:f>IF($A130="","",IF($H130="Completed",$E130*$G130,0))</x:f>
        <x:v>18.4</x:v>
      </x:c>
      <x:c r="L130" s="29" t="n">
        <x:f>IF($A130="","",J130-K130)</x:f>
        <x:v>29.6</x:v>
      </x:c>
    </x:row>
    <x:row r="131">
      <x:c r="A131" t="str">
        <x:v>ORD-0032</x:v>
      </x:c>
      <x:c r="B131" t="str">
        <x:v>2026-10-14</x:v>
      </x:c>
      <x:c r="C131" t="str">
        <x:v>Pen Set</x:v>
      </x:c>
      <x:c r="D131" t="str">
        <x:v>Stationery</x:v>
      </x:c>
      <x:c r="E131" t="n">
        <x:v>3</x:v>
      </x:c>
      <x:c r="F131" s="26" t="n">
        <x:v>15</x:v>
      </x:c>
      <x:c r="G131" s="26" t="n">
        <x:v>5</x:v>
      </x:c>
      <x:c r="H131" t="str">
        <x:v>Completed</x:v>
      </x:c>
      <x:c r="I131" s="28" t="str">
        <x:f>IF($A131="","",IF(ISNUMBER($B131),TEXT($B131,"yyyy-mm"),LEFT($B131,7)))</x:f>
        <x:v>2026-10</x:v>
      </x:c>
      <x:c r="J131" s="29" t="n">
        <x:f>IF($A131="","",IF($H131="Completed",$E131*$F131,0))</x:f>
        <x:v>45</x:v>
      </x:c>
      <x:c r="K131" s="29" t="n">
        <x:f>IF($A131="","",IF($H131="Completed",$E131*$G131,0))</x:f>
        <x:v>15</x:v>
      </x:c>
      <x:c r="L131" s="29" t="n">
        <x:f>IF($A131="","",J131-K131)</x:f>
        <x:v>30</x:v>
      </x:c>
    </x:row>
    <x:row r="132">
      <x:c r="A132" t="str">
        <x:v>ORD-0118</x:v>
      </x:c>
      <x:c r="B132" t="str">
        <x:v>2026-10-14</x:v>
      </x:c>
      <x:c r="C132" t="str">
        <x:v>Canvas Tote</x:v>
      </x:c>
      <x:c r="D132" t="str">
        <x:v>Accessories</x:v>
      </x:c>
      <x:c r="E132" t="n">
        <x:v>4</x:v>
      </x:c>
      <x:c r="F132" s="26" t="n">
        <x:v>18</x:v>
      </x:c>
      <x:c r="G132" s="26" t="n">
        <x:v>6.3</x:v>
      </x:c>
      <x:c r="H132" t="str">
        <x:v>Completed</x:v>
      </x:c>
      <x:c r="I132" s="28" t="str">
        <x:f>IF($A132="","",IF(ISNUMBER($B132),TEXT($B132,"yyyy-mm"),LEFT($B132,7)))</x:f>
        <x:v>2026-10</x:v>
      </x:c>
      <x:c r="J132" s="29" t="n">
        <x:f>IF($A132="","",IF($H132="Completed",$E132*$F132,0))</x:f>
        <x:v>72</x:v>
      </x:c>
      <x:c r="K132" s="29" t="n">
        <x:f>IF($A132="","",IF($H132="Completed",$E132*$G132,0))</x:f>
        <x:v>25.2</x:v>
      </x:c>
      <x:c r="L132" s="29" t="n">
        <x:f>IF($A132="","",J132-K132)</x:f>
        <x:v>46.8</x:v>
      </x:c>
    </x:row>
    <x:row r="133">
      <x:c r="A133" t="str">
        <x:v>ORD-0021</x:v>
      </x:c>
      <x:c r="B133" t="str">
        <x:v>2026-10-15</x:v>
      </x:c>
      <x:c r="C133" t="str">
        <x:v>Desk Lamp</x:v>
      </x:c>
      <x:c r="D133" t="str">
        <x:v>Home</x:v>
      </x:c>
      <x:c r="E133" t="n">
        <x:v>4</x:v>
      </x:c>
      <x:c r="F133" s="26" t="n">
        <x:v>44</x:v>
      </x:c>
      <x:c r="G133" s="26" t="n">
        <x:v>22</x:v>
      </x:c>
      <x:c r="H133" t="str">
        <x:v>Refunded</x:v>
      </x:c>
      <x:c r="I133" s="28" t="str">
        <x:f>IF($A133="","",IF(ISNUMBER($B133),TEXT($B133,"yyyy-mm"),LEFT($B133,7)))</x:f>
        <x:v>2026-10</x:v>
      </x:c>
      <x:c r="J133" s="29" t="n">
        <x:f>IF($A133="","",IF($H133="Completed",$E133*$F133,0))</x:f>
        <x:v>0</x:v>
      </x:c>
      <x:c r="K133" s="29" t="n">
        <x:f>IF($A133="","",IF($H133="Completed",$E133*$G133,0))</x:f>
        <x:v>0</x:v>
      </x:c>
      <x:c r="L133" s="29" t="n">
        <x:f>IF($A133="","",J133-K133)</x:f>
        <x:v>0</x:v>
      </x:c>
    </x:row>
    <x:row r="134">
      <x:c r="F134" s="26"/>
      <x:c r="G134" s="26"/>
      <x:c r="I134" s="28" t="str">
        <x:f>IF($A134="","",IF(ISNUMBER($B134),TEXT($B134,"yyyy-mm"),LEFT($B134,7)))</x:f>
      </x:c>
      <x:c r="J134" s="29" t="str">
        <x:f>IF($A134="","",IF($H134="Completed",$E134*$F134,0))</x:f>
      </x:c>
      <x:c r="K134" s="29" t="str">
        <x:f>IF($A134="","",IF($H134="Completed",$E134*$G134,0))</x:f>
      </x:c>
      <x:c r="L134" s="29" t="str">
        <x:f>IF($A134="","",J134-K134)</x:f>
      </x:c>
    </x:row>
    <x:row r="135">
      <x:c r="F135" s="26"/>
      <x:c r="G135" s="26"/>
      <x:c r="I135" s="28" t="str">
        <x:f>IF($A135="","",IF(ISNUMBER($B135),TEXT($B135,"yyyy-mm"),LEFT($B135,7)))</x:f>
      </x:c>
      <x:c r="J135" s="29" t="str">
        <x:f>IF($A135="","",IF($H135="Completed",$E135*$F135,0))</x:f>
      </x:c>
      <x:c r="K135" s="29" t="str">
        <x:f>IF($A135="","",IF($H135="Completed",$E135*$G135,0))</x:f>
      </x:c>
      <x:c r="L135" s="29" t="str">
        <x:f>IF($A135="","",J135-K135)</x:f>
      </x:c>
    </x:row>
    <x:row r="136">
      <x:c r="F136" s="26"/>
      <x:c r="G136" s="26"/>
      <x:c r="I136" s="28" t="str">
        <x:f>IF($A136="","",IF(ISNUMBER($B136),TEXT($B136,"yyyy-mm"),LEFT($B136,7)))</x:f>
      </x:c>
      <x:c r="J136" s="29" t="str">
        <x:f>IF($A136="","",IF($H136="Completed",$E136*$F136,0))</x:f>
      </x:c>
      <x:c r="K136" s="29" t="str">
        <x:f>IF($A136="","",IF($H136="Completed",$E136*$G136,0))</x:f>
      </x:c>
      <x:c r="L136" s="29" t="str">
        <x:f>IF($A136="","",J136-K136)</x:f>
      </x:c>
    </x:row>
    <x:row r="137">
      <x:c r="F137" s="26"/>
      <x:c r="G137" s="26"/>
      <x:c r="I137" s="28" t="str">
        <x:f>IF($A137="","",IF(ISNUMBER($B137),TEXT($B137,"yyyy-mm"),LEFT($B137,7)))</x:f>
      </x:c>
      <x:c r="J137" s="29" t="str">
        <x:f>IF($A137="","",IF($H137="Completed",$E137*$F137,0))</x:f>
      </x:c>
      <x:c r="K137" s="29" t="str">
        <x:f>IF($A137="","",IF($H137="Completed",$E137*$G137,0))</x:f>
      </x:c>
      <x:c r="L137" s="29" t="str">
        <x:f>IF($A137="","",J137-K137)</x:f>
      </x:c>
    </x:row>
    <x:row r="138">
      <x:c r="F138" s="26"/>
      <x:c r="G138" s="26"/>
      <x:c r="I138" s="28" t="str">
        <x:f>IF($A138="","",IF(ISNUMBER($B138),TEXT($B138,"yyyy-mm"),LEFT($B138,7)))</x:f>
      </x:c>
      <x:c r="J138" s="29" t="str">
        <x:f>IF($A138="","",IF($H138="Completed",$E138*$F138,0))</x:f>
      </x:c>
      <x:c r="K138" s="29" t="str">
        <x:f>IF($A138="","",IF($H138="Completed",$E138*$G138,0))</x:f>
      </x:c>
      <x:c r="L138" s="29" t="str">
        <x:f>IF($A138="","",J138-K138)</x:f>
      </x:c>
    </x:row>
    <x:row r="139">
      <x:c r="F139" s="26"/>
      <x:c r="G139" s="26"/>
      <x:c r="I139" s="28" t="str">
        <x:f>IF($A139="","",IF(ISNUMBER($B139),TEXT($B139,"yyyy-mm"),LEFT($B139,7)))</x:f>
      </x:c>
      <x:c r="J139" s="29" t="str">
        <x:f>IF($A139="","",IF($H139="Completed",$E139*$F139,0))</x:f>
      </x:c>
      <x:c r="K139" s="29" t="str">
        <x:f>IF($A139="","",IF($H139="Completed",$E139*$G139,0))</x:f>
      </x:c>
      <x:c r="L139" s="29" t="str">
        <x:f>IF($A139="","",J139-K139)</x:f>
      </x:c>
    </x:row>
    <x:row r="140">
      <x:c r="F140" s="26"/>
      <x:c r="G140" s="26"/>
      <x:c r="I140" s="28" t="str">
        <x:f>IF($A140="","",IF(ISNUMBER($B140),TEXT($B140,"yyyy-mm"),LEFT($B140,7)))</x:f>
      </x:c>
      <x:c r="J140" s="29" t="str">
        <x:f>IF($A140="","",IF($H140="Completed",$E140*$F140,0))</x:f>
      </x:c>
      <x:c r="K140" s="29" t="str">
        <x:f>IF($A140="","",IF($H140="Completed",$E140*$G140,0))</x:f>
      </x:c>
      <x:c r="L140" s="29" t="str">
        <x:f>IF($A140="","",J140-K140)</x:f>
      </x:c>
    </x:row>
    <x:row r="141">
      <x:c r="F141" s="26"/>
      <x:c r="G141" s="26"/>
      <x:c r="I141" s="28" t="str">
        <x:f>IF($A141="","",IF(ISNUMBER($B141),TEXT($B141,"yyyy-mm"),LEFT($B141,7)))</x:f>
      </x:c>
      <x:c r="J141" s="29" t="str">
        <x:f>IF($A141="","",IF($H141="Completed",$E141*$F141,0))</x:f>
      </x:c>
      <x:c r="K141" s="29" t="str">
        <x:f>IF($A141="","",IF($H141="Completed",$E141*$G141,0))</x:f>
      </x:c>
      <x:c r="L141" s="29" t="str">
        <x:f>IF($A141="","",J141-K141)</x:f>
      </x:c>
    </x:row>
    <x:row r="142">
      <x:c r="F142" s="26"/>
      <x:c r="G142" s="26"/>
      <x:c r="I142" s="28" t="str">
        <x:f>IF($A142="","",IF(ISNUMBER($B142),TEXT($B142,"yyyy-mm"),LEFT($B142,7)))</x:f>
      </x:c>
      <x:c r="J142" s="29" t="str">
        <x:f>IF($A142="","",IF($H142="Completed",$E142*$F142,0))</x:f>
      </x:c>
      <x:c r="K142" s="29" t="str">
        <x:f>IF($A142="","",IF($H142="Completed",$E142*$G142,0))</x:f>
      </x:c>
      <x:c r="L142" s="29" t="str">
        <x:f>IF($A142="","",J142-K142)</x:f>
      </x:c>
    </x:row>
    <x:row r="143">
      <x:c r="F143" s="26"/>
      <x:c r="G143" s="26"/>
      <x:c r="I143" s="28" t="str">
        <x:f>IF($A143="","",IF(ISNUMBER($B143),TEXT($B143,"yyyy-mm"),LEFT($B143,7)))</x:f>
      </x:c>
      <x:c r="J143" s="29" t="str">
        <x:f>IF($A143="","",IF($H143="Completed",$E143*$F143,0))</x:f>
      </x:c>
      <x:c r="K143" s="29" t="str">
        <x:f>IF($A143="","",IF($H143="Completed",$E143*$G143,0))</x:f>
      </x:c>
      <x:c r="L143" s="29" t="str">
        <x:f>IF($A143="","",J143-K143)</x:f>
      </x:c>
    </x:row>
    <x:row r="144">
      <x:c r="F144" s="26"/>
      <x:c r="G144" s="26"/>
      <x:c r="I144" s="28" t="str">
        <x:f>IF($A144="","",IF(ISNUMBER($B144),TEXT($B144,"yyyy-mm"),LEFT($B144,7)))</x:f>
      </x:c>
      <x:c r="J144" s="29" t="str">
        <x:f>IF($A144="","",IF($H144="Completed",$E144*$F144,0))</x:f>
      </x:c>
      <x:c r="K144" s="29" t="str">
        <x:f>IF($A144="","",IF($H144="Completed",$E144*$G144,0))</x:f>
      </x:c>
      <x:c r="L144" s="29" t="str">
        <x:f>IF($A144="","",J144-K144)</x:f>
      </x:c>
    </x:row>
    <x:row r="145">
      <x:c r="F145" s="26"/>
      <x:c r="G145" s="26"/>
      <x:c r="I145" s="28" t="str">
        <x:f>IF($A145="","",IF(ISNUMBER($B145),TEXT($B145,"yyyy-mm"),LEFT($B145,7)))</x:f>
      </x:c>
      <x:c r="J145" s="29" t="str">
        <x:f>IF($A145="","",IF($H145="Completed",$E145*$F145,0))</x:f>
      </x:c>
      <x:c r="K145" s="29" t="str">
        <x:f>IF($A145="","",IF($H145="Completed",$E145*$G145,0))</x:f>
      </x:c>
      <x:c r="L145" s="29" t="str">
        <x:f>IF($A145="","",J145-K145)</x:f>
      </x:c>
    </x:row>
    <x:row r="146">
      <x:c r="F146" s="26"/>
      <x:c r="G146" s="26"/>
      <x:c r="I146" s="28" t="str">
        <x:f>IF($A146="","",IF(ISNUMBER($B146),TEXT($B146,"yyyy-mm"),LEFT($B146,7)))</x:f>
      </x:c>
      <x:c r="J146" s="29" t="str">
        <x:f>IF($A146="","",IF($H146="Completed",$E146*$F146,0))</x:f>
      </x:c>
      <x:c r="K146" s="29" t="str">
        <x:f>IF($A146="","",IF($H146="Completed",$E146*$G146,0))</x:f>
      </x:c>
      <x:c r="L146" s="29" t="str">
        <x:f>IF($A146="","",J146-K146)</x:f>
      </x:c>
    </x:row>
    <x:row r="147">
      <x:c r="F147" s="26"/>
      <x:c r="G147" s="26"/>
      <x:c r="I147" s="28" t="str">
        <x:f>IF($A147="","",IF(ISNUMBER($B147),TEXT($B147,"yyyy-mm"),LEFT($B147,7)))</x:f>
      </x:c>
      <x:c r="J147" s="29" t="str">
        <x:f>IF($A147="","",IF($H147="Completed",$E147*$F147,0))</x:f>
      </x:c>
      <x:c r="K147" s="29" t="str">
        <x:f>IF($A147="","",IF($H147="Completed",$E147*$G147,0))</x:f>
      </x:c>
      <x:c r="L147" s="29" t="str">
        <x:f>IF($A147="","",J147-K147)</x:f>
      </x:c>
    </x:row>
    <x:row r="148">
      <x:c r="F148" s="26"/>
      <x:c r="G148" s="26"/>
      <x:c r="I148" s="28" t="str">
        <x:f>IF($A148="","",IF(ISNUMBER($B148),TEXT($B148,"yyyy-mm"),LEFT($B148,7)))</x:f>
      </x:c>
      <x:c r="J148" s="29" t="str">
        <x:f>IF($A148="","",IF($H148="Completed",$E148*$F148,0))</x:f>
      </x:c>
      <x:c r="K148" s="29" t="str">
        <x:f>IF($A148="","",IF($H148="Completed",$E148*$G148,0))</x:f>
      </x:c>
      <x:c r="L148" s="29" t="str">
        <x:f>IF($A148="","",J148-K148)</x:f>
      </x:c>
    </x:row>
    <x:row r="149">
      <x:c r="F149" s="26"/>
      <x:c r="G149" s="26"/>
      <x:c r="I149" s="28" t="str">
        <x:f>IF($A149="","",IF(ISNUMBER($B149),TEXT($B149,"yyyy-mm"),LEFT($B149,7)))</x:f>
      </x:c>
      <x:c r="J149" s="29" t="str">
        <x:f>IF($A149="","",IF($H149="Completed",$E149*$F149,0))</x:f>
      </x:c>
      <x:c r="K149" s="29" t="str">
        <x:f>IF($A149="","",IF($H149="Completed",$E149*$G149,0))</x:f>
      </x:c>
      <x:c r="L149" s="29" t="str">
        <x:f>IF($A149="","",J149-K149)</x:f>
      </x:c>
    </x:row>
    <x:row r="150">
      <x:c r="F150" s="26"/>
      <x:c r="G150" s="26"/>
      <x:c r="I150" s="28" t="str">
        <x:f>IF($A150="","",IF(ISNUMBER($B150),TEXT($B150,"yyyy-mm"),LEFT($B150,7)))</x:f>
      </x:c>
      <x:c r="J150" s="29" t="str">
        <x:f>IF($A150="","",IF($H150="Completed",$E150*$F150,0))</x:f>
      </x:c>
      <x:c r="K150" s="29" t="str">
        <x:f>IF($A150="","",IF($H150="Completed",$E150*$G150,0))</x:f>
      </x:c>
      <x:c r="L150" s="29" t="str">
        <x:f>IF($A150="","",J150-K150)</x:f>
      </x:c>
    </x:row>
    <x:row r="151">
      <x:c r="F151" s="26"/>
      <x:c r="G151" s="26"/>
      <x:c r="I151" s="28" t="str">
        <x:f>IF($A151="","",IF(ISNUMBER($B151),TEXT($B151,"yyyy-mm"),LEFT($B151,7)))</x:f>
      </x:c>
      <x:c r="J151" s="29" t="str">
        <x:f>IF($A151="","",IF($H151="Completed",$E151*$F151,0))</x:f>
      </x:c>
      <x:c r="K151" s="29" t="str">
        <x:f>IF($A151="","",IF($H151="Completed",$E151*$G151,0))</x:f>
      </x:c>
      <x:c r="L151" s="29" t="str">
        <x:f>IF($A151="","",J151-K151)</x:f>
      </x:c>
    </x:row>
    <x:row r="152">
      <x:c r="F152" s="26"/>
      <x:c r="G152" s="26"/>
      <x:c r="I152" s="28" t="str">
        <x:f>IF($A152="","",IF(ISNUMBER($B152),TEXT($B152,"yyyy-mm"),LEFT($B152,7)))</x:f>
      </x:c>
      <x:c r="J152" s="29" t="str">
        <x:f>IF($A152="","",IF($H152="Completed",$E152*$F152,0))</x:f>
      </x:c>
      <x:c r="K152" s="29" t="str">
        <x:f>IF($A152="","",IF($H152="Completed",$E152*$G152,0))</x:f>
      </x:c>
      <x:c r="L152" s="29" t="str">
        <x:f>IF($A152="","",J152-K152)</x:f>
      </x:c>
    </x:row>
    <x:row r="153">
      <x:c r="F153" s="26"/>
      <x:c r="G153" s="26"/>
      <x:c r="I153" s="28" t="str">
        <x:f>IF($A153="","",IF(ISNUMBER($B153),TEXT($B153,"yyyy-mm"),LEFT($B153,7)))</x:f>
      </x:c>
      <x:c r="J153" s="29" t="str">
        <x:f>IF($A153="","",IF($H153="Completed",$E153*$F153,0))</x:f>
      </x:c>
      <x:c r="K153" s="29" t="str">
        <x:f>IF($A153="","",IF($H153="Completed",$E153*$G153,0))</x:f>
      </x:c>
      <x:c r="L153" s="29" t="str">
        <x:f>IF($A153="","",J153-K153)</x:f>
      </x:c>
    </x:row>
    <x:row r="154">
      <x:c r="F154" s="26"/>
      <x:c r="G154" s="26"/>
      <x:c r="I154" s="28" t="str">
        <x:f>IF($A154="","",IF(ISNUMBER($B154),TEXT($B154,"yyyy-mm"),LEFT($B154,7)))</x:f>
      </x:c>
      <x:c r="J154" s="29" t="str">
        <x:f>IF($A154="","",IF($H154="Completed",$E154*$F154,0))</x:f>
      </x:c>
      <x:c r="K154" s="29" t="str">
        <x:f>IF($A154="","",IF($H154="Completed",$E154*$G154,0))</x:f>
      </x:c>
      <x:c r="L154" s="29" t="str">
        <x:f>IF($A154="","",J154-K154)</x:f>
      </x:c>
    </x:row>
    <x:row r="155">
      <x:c r="F155" s="26"/>
      <x:c r="G155" s="26"/>
      <x:c r="I155" s="28" t="str">
        <x:f>IF($A155="","",IF(ISNUMBER($B155),TEXT($B155,"yyyy-mm"),LEFT($B155,7)))</x:f>
      </x:c>
      <x:c r="J155" s="29" t="str">
        <x:f>IF($A155="","",IF($H155="Completed",$E155*$F155,0))</x:f>
      </x:c>
      <x:c r="K155" s="29" t="str">
        <x:f>IF($A155="","",IF($H155="Completed",$E155*$G155,0))</x:f>
      </x:c>
      <x:c r="L155" s="29" t="str">
        <x:f>IF($A155="","",J155-K155)</x:f>
      </x:c>
    </x:row>
    <x:row r="156">
      <x:c r="F156" s="26"/>
      <x:c r="G156" s="26"/>
      <x:c r="I156" s="28" t="str">
        <x:f>IF($A156="","",IF(ISNUMBER($B156),TEXT($B156,"yyyy-mm"),LEFT($B156,7)))</x:f>
      </x:c>
      <x:c r="J156" s="29" t="str">
        <x:f>IF($A156="","",IF($H156="Completed",$E156*$F156,0))</x:f>
      </x:c>
      <x:c r="K156" s="29" t="str">
        <x:f>IF($A156="","",IF($H156="Completed",$E156*$G156,0))</x:f>
      </x:c>
      <x:c r="L156" s="29" t="str">
        <x:f>IF($A156="","",J156-K156)</x:f>
      </x:c>
    </x:row>
    <x:row r="157">
      <x:c r="F157" s="26"/>
      <x:c r="G157" s="26"/>
      <x:c r="I157" s="28" t="str">
        <x:f>IF($A157="","",IF(ISNUMBER($B157),TEXT($B157,"yyyy-mm"),LEFT($B157,7)))</x:f>
      </x:c>
      <x:c r="J157" s="29" t="str">
        <x:f>IF($A157="","",IF($H157="Completed",$E157*$F157,0))</x:f>
      </x:c>
      <x:c r="K157" s="29" t="str">
        <x:f>IF($A157="","",IF($H157="Completed",$E157*$G157,0))</x:f>
      </x:c>
      <x:c r="L157" s="29" t="str">
        <x:f>IF($A157="","",J157-K157)</x:f>
      </x:c>
    </x:row>
    <x:row r="158">
      <x:c r="F158" s="26"/>
      <x:c r="G158" s="26"/>
      <x:c r="I158" s="28" t="str">
        <x:f>IF($A158="","",IF(ISNUMBER($B158),TEXT($B158,"yyyy-mm"),LEFT($B158,7)))</x:f>
      </x:c>
      <x:c r="J158" s="29" t="str">
        <x:f>IF($A158="","",IF($H158="Completed",$E158*$F158,0))</x:f>
      </x:c>
      <x:c r="K158" s="29" t="str">
        <x:f>IF($A158="","",IF($H158="Completed",$E158*$G158,0))</x:f>
      </x:c>
      <x:c r="L158" s="29" t="str">
        <x:f>IF($A158="","",J158-K158)</x:f>
      </x:c>
    </x:row>
    <x:row r="159">
      <x:c r="F159" s="26"/>
      <x:c r="G159" s="26"/>
      <x:c r="I159" s="28" t="str">
        <x:f>IF($A159="","",IF(ISNUMBER($B159),TEXT($B159,"yyyy-mm"),LEFT($B159,7)))</x:f>
      </x:c>
      <x:c r="J159" s="29" t="str">
        <x:f>IF($A159="","",IF($H159="Completed",$E159*$F159,0))</x:f>
      </x:c>
      <x:c r="K159" s="29" t="str">
        <x:f>IF($A159="","",IF($H159="Completed",$E159*$G159,0))</x:f>
      </x:c>
      <x:c r="L159" s="29" t="str">
        <x:f>IF($A159="","",J159-K159)</x:f>
      </x:c>
    </x:row>
    <x:row r="160">
      <x:c r="F160" s="26"/>
      <x:c r="G160" s="26"/>
      <x:c r="I160" s="28" t="str">
        <x:f>IF($A160="","",IF(ISNUMBER($B160),TEXT($B160,"yyyy-mm"),LEFT($B160,7)))</x:f>
      </x:c>
      <x:c r="J160" s="29" t="str">
        <x:f>IF($A160="","",IF($H160="Completed",$E160*$F160,0))</x:f>
      </x:c>
      <x:c r="K160" s="29" t="str">
        <x:f>IF($A160="","",IF($H160="Completed",$E160*$G160,0))</x:f>
      </x:c>
      <x:c r="L160" s="29" t="str">
        <x:f>IF($A160="","",J160-K160)</x:f>
      </x:c>
    </x:row>
    <x:row r="161">
      <x:c r="F161" s="26"/>
      <x:c r="G161" s="26"/>
      <x:c r="I161" s="28" t="str">
        <x:f>IF($A161="","",IF(ISNUMBER($B161),TEXT($B161,"yyyy-mm"),LEFT($B161,7)))</x:f>
      </x:c>
      <x:c r="J161" s="29" t="str">
        <x:f>IF($A161="","",IF($H161="Completed",$E161*$F161,0))</x:f>
      </x:c>
      <x:c r="K161" s="29" t="str">
        <x:f>IF($A161="","",IF($H161="Completed",$E161*$G161,0))</x:f>
      </x:c>
      <x:c r="L161" s="29" t="str">
        <x:f>IF($A161="","",J161-K161)</x:f>
      </x:c>
    </x:row>
    <x:row r="162">
      <x:c r="F162" s="26"/>
      <x:c r="G162" s="26"/>
      <x:c r="I162" s="28" t="str">
        <x:f>IF($A162="","",IF(ISNUMBER($B162),TEXT($B162,"yyyy-mm"),LEFT($B162,7)))</x:f>
      </x:c>
      <x:c r="J162" s="29" t="str">
        <x:f>IF($A162="","",IF($H162="Completed",$E162*$F162,0))</x:f>
      </x:c>
      <x:c r="K162" s="29" t="str">
        <x:f>IF($A162="","",IF($H162="Completed",$E162*$G162,0))</x:f>
      </x:c>
      <x:c r="L162" s="29" t="str">
        <x:f>IF($A162="","",J162-K162)</x:f>
      </x:c>
    </x:row>
    <x:row r="163">
      <x:c r="F163" s="26"/>
      <x:c r="G163" s="26"/>
      <x:c r="I163" s="28" t="str">
        <x:f>IF($A163="","",IF(ISNUMBER($B163),TEXT($B163,"yyyy-mm"),LEFT($B163,7)))</x:f>
      </x:c>
      <x:c r="J163" s="29" t="str">
        <x:f>IF($A163="","",IF($H163="Completed",$E163*$F163,0))</x:f>
      </x:c>
      <x:c r="K163" s="29" t="str">
        <x:f>IF($A163="","",IF($H163="Completed",$E163*$G163,0))</x:f>
      </x:c>
      <x:c r="L163" s="29" t="str">
        <x:f>IF($A163="","",J163-K163)</x:f>
      </x:c>
    </x:row>
    <x:row r="164">
      <x:c r="F164" s="26"/>
      <x:c r="G164" s="26"/>
      <x:c r="I164" s="28" t="str">
        <x:f>IF($A164="","",IF(ISNUMBER($B164),TEXT($B164,"yyyy-mm"),LEFT($B164,7)))</x:f>
      </x:c>
      <x:c r="J164" s="29" t="str">
        <x:f>IF($A164="","",IF($H164="Completed",$E164*$F164,0))</x:f>
      </x:c>
      <x:c r="K164" s="29" t="str">
        <x:f>IF($A164="","",IF($H164="Completed",$E164*$G164,0))</x:f>
      </x:c>
      <x:c r="L164" s="29" t="str">
        <x:f>IF($A164="","",J164-K164)</x:f>
      </x:c>
    </x:row>
    <x:row r="165">
      <x:c r="F165" s="26"/>
      <x:c r="G165" s="26"/>
      <x:c r="I165" s="28" t="str">
        <x:f>IF($A165="","",IF(ISNUMBER($B165),TEXT($B165,"yyyy-mm"),LEFT($B165,7)))</x:f>
      </x:c>
      <x:c r="J165" s="29" t="str">
        <x:f>IF($A165="","",IF($H165="Completed",$E165*$F165,0))</x:f>
      </x:c>
      <x:c r="K165" s="29" t="str">
        <x:f>IF($A165="","",IF($H165="Completed",$E165*$G165,0))</x:f>
      </x:c>
      <x:c r="L165" s="29" t="str">
        <x:f>IF($A165="","",J165-K165)</x:f>
      </x:c>
    </x:row>
    <x:row r="166">
      <x:c r="F166" s="26"/>
      <x:c r="G166" s="26"/>
      <x:c r="I166" s="28" t="str">
        <x:f>IF($A166="","",IF(ISNUMBER($B166),TEXT($B166,"yyyy-mm"),LEFT($B166,7)))</x:f>
      </x:c>
      <x:c r="J166" s="29" t="str">
        <x:f>IF($A166="","",IF($H166="Completed",$E166*$F166,0))</x:f>
      </x:c>
      <x:c r="K166" s="29" t="str">
        <x:f>IF($A166="","",IF($H166="Completed",$E166*$G166,0))</x:f>
      </x:c>
      <x:c r="L166" s="29" t="str">
        <x:f>IF($A166="","",J166-K166)</x:f>
      </x:c>
    </x:row>
    <x:row r="167">
      <x:c r="F167" s="26"/>
      <x:c r="G167" s="26"/>
      <x:c r="I167" s="28" t="str">
        <x:f>IF($A167="","",IF(ISNUMBER($B167),TEXT($B167,"yyyy-mm"),LEFT($B167,7)))</x:f>
      </x:c>
      <x:c r="J167" s="29" t="str">
        <x:f>IF($A167="","",IF($H167="Completed",$E167*$F167,0))</x:f>
      </x:c>
      <x:c r="K167" s="29" t="str">
        <x:f>IF($A167="","",IF($H167="Completed",$E167*$G167,0))</x:f>
      </x:c>
      <x:c r="L167" s="29" t="str">
        <x:f>IF($A167="","",J167-K167)</x:f>
      </x:c>
    </x:row>
    <x:row r="168">
      <x:c r="F168" s="26"/>
      <x:c r="G168" s="26"/>
      <x:c r="I168" s="28" t="str">
        <x:f>IF($A168="","",IF(ISNUMBER($B168),TEXT($B168,"yyyy-mm"),LEFT($B168,7)))</x:f>
      </x:c>
      <x:c r="J168" s="29" t="str">
        <x:f>IF($A168="","",IF($H168="Completed",$E168*$F168,0))</x:f>
      </x:c>
      <x:c r="K168" s="29" t="str">
        <x:f>IF($A168="","",IF($H168="Completed",$E168*$G168,0))</x:f>
      </x:c>
      <x:c r="L168" s="29" t="str">
        <x:f>IF($A168="","",J168-K168)</x:f>
      </x:c>
    </x:row>
    <x:row r="169">
      <x:c r="F169" s="26"/>
      <x:c r="G169" s="26"/>
      <x:c r="I169" s="28" t="str">
        <x:f>IF($A169="","",IF(ISNUMBER($B169),TEXT($B169,"yyyy-mm"),LEFT($B169,7)))</x:f>
      </x:c>
      <x:c r="J169" s="29" t="str">
        <x:f>IF($A169="","",IF($H169="Completed",$E169*$F169,0))</x:f>
      </x:c>
      <x:c r="K169" s="29" t="str">
        <x:f>IF($A169="","",IF($H169="Completed",$E169*$G169,0))</x:f>
      </x:c>
      <x:c r="L169" s="29" t="str">
        <x:f>IF($A169="","",J169-K169)</x:f>
      </x:c>
    </x:row>
    <x:row r="170">
      <x:c r="F170" s="26"/>
      <x:c r="G170" s="26"/>
      <x:c r="I170" s="28" t="str">
        <x:f>IF($A170="","",IF(ISNUMBER($B170),TEXT($B170,"yyyy-mm"),LEFT($B170,7)))</x:f>
      </x:c>
      <x:c r="J170" s="29" t="str">
        <x:f>IF($A170="","",IF($H170="Completed",$E170*$F170,0))</x:f>
      </x:c>
      <x:c r="K170" s="29" t="str">
        <x:f>IF($A170="","",IF($H170="Completed",$E170*$G170,0))</x:f>
      </x:c>
      <x:c r="L170" s="29" t="str">
        <x:f>IF($A170="","",J170-K170)</x:f>
      </x:c>
    </x:row>
    <x:row r="171">
      <x:c r="F171" s="26"/>
      <x:c r="G171" s="26"/>
      <x:c r="I171" s="28" t="str">
        <x:f>IF($A171="","",IF(ISNUMBER($B171),TEXT($B171,"yyyy-mm"),LEFT($B171,7)))</x:f>
      </x:c>
      <x:c r="J171" s="29" t="str">
        <x:f>IF($A171="","",IF($H171="Completed",$E171*$F171,0))</x:f>
      </x:c>
      <x:c r="K171" s="29" t="str">
        <x:f>IF($A171="","",IF($H171="Completed",$E171*$G171,0))</x:f>
      </x:c>
      <x:c r="L171" s="29" t="str">
        <x:f>IF($A171="","",J171-K171)</x:f>
      </x:c>
    </x:row>
    <x:row r="172">
      <x:c r="F172" s="26"/>
      <x:c r="G172" s="26"/>
      <x:c r="I172" s="28" t="str">
        <x:f>IF($A172="","",IF(ISNUMBER($B172),TEXT($B172,"yyyy-mm"),LEFT($B172,7)))</x:f>
      </x:c>
      <x:c r="J172" s="29" t="str">
        <x:f>IF($A172="","",IF($H172="Completed",$E172*$F172,0))</x:f>
      </x:c>
      <x:c r="K172" s="29" t="str">
        <x:f>IF($A172="","",IF($H172="Completed",$E172*$G172,0))</x:f>
      </x:c>
      <x:c r="L172" s="29" t="str">
        <x:f>IF($A172="","",J172-K172)</x:f>
      </x:c>
    </x:row>
    <x:row r="173">
      <x:c r="F173" s="26"/>
      <x:c r="G173" s="26"/>
      <x:c r="I173" s="28" t="str">
        <x:f>IF($A173="","",IF(ISNUMBER($B173),TEXT($B173,"yyyy-mm"),LEFT($B173,7)))</x:f>
      </x:c>
      <x:c r="J173" s="29" t="str">
        <x:f>IF($A173="","",IF($H173="Completed",$E173*$F173,0))</x:f>
      </x:c>
      <x:c r="K173" s="29" t="str">
        <x:f>IF($A173="","",IF($H173="Completed",$E173*$G173,0))</x:f>
      </x:c>
      <x:c r="L173" s="29" t="str">
        <x:f>IF($A173="","",J173-K173)</x:f>
      </x:c>
    </x:row>
    <x:row r="174">
      <x:c r="F174" s="26"/>
      <x:c r="G174" s="26"/>
      <x:c r="I174" s="28" t="str">
        <x:f>IF($A174="","",IF(ISNUMBER($B174),TEXT($B174,"yyyy-mm"),LEFT($B174,7)))</x:f>
      </x:c>
      <x:c r="J174" s="29" t="str">
        <x:f>IF($A174="","",IF($H174="Completed",$E174*$F174,0))</x:f>
      </x:c>
      <x:c r="K174" s="29" t="str">
        <x:f>IF($A174="","",IF($H174="Completed",$E174*$G174,0))</x:f>
      </x:c>
      <x:c r="L174" s="29" t="str">
        <x:f>IF($A174="","",J174-K174)</x:f>
      </x:c>
    </x:row>
    <x:row r="175">
      <x:c r="F175" s="26"/>
      <x:c r="G175" s="26"/>
      <x:c r="I175" s="28" t="str">
        <x:f>IF($A175="","",IF(ISNUMBER($B175),TEXT($B175,"yyyy-mm"),LEFT($B175,7)))</x:f>
      </x:c>
      <x:c r="J175" s="29" t="str">
        <x:f>IF($A175="","",IF($H175="Completed",$E175*$F175,0))</x:f>
      </x:c>
      <x:c r="K175" s="29" t="str">
        <x:f>IF($A175="","",IF($H175="Completed",$E175*$G175,0))</x:f>
      </x:c>
      <x:c r="L175" s="29" t="str">
        <x:f>IF($A175="","",J175-K175)</x:f>
      </x:c>
    </x:row>
    <x:row r="176">
      <x:c r="F176" s="26"/>
      <x:c r="G176" s="26"/>
      <x:c r="I176" s="28" t="str">
        <x:f>IF($A176="","",IF(ISNUMBER($B176),TEXT($B176,"yyyy-mm"),LEFT($B176,7)))</x:f>
      </x:c>
      <x:c r="J176" s="29" t="str">
        <x:f>IF($A176="","",IF($H176="Completed",$E176*$F176,0))</x:f>
      </x:c>
      <x:c r="K176" s="29" t="str">
        <x:f>IF($A176="","",IF($H176="Completed",$E176*$G176,0))</x:f>
      </x:c>
      <x:c r="L176" s="29" t="str">
        <x:f>IF($A176="","",J176-K176)</x:f>
      </x:c>
    </x:row>
    <x:row r="177">
      <x:c r="F177" s="26"/>
      <x:c r="G177" s="26"/>
      <x:c r="I177" s="28" t="str">
        <x:f>IF($A177="","",IF(ISNUMBER($B177),TEXT($B177,"yyyy-mm"),LEFT($B177,7)))</x:f>
      </x:c>
      <x:c r="J177" s="29" t="str">
        <x:f>IF($A177="","",IF($H177="Completed",$E177*$F177,0))</x:f>
      </x:c>
      <x:c r="K177" s="29" t="str">
        <x:f>IF($A177="","",IF($H177="Completed",$E177*$G177,0))</x:f>
      </x:c>
      <x:c r="L177" s="29" t="str">
        <x:f>IF($A177="","",J177-K177)</x:f>
      </x:c>
    </x:row>
    <x:row r="178">
      <x:c r="F178" s="26"/>
      <x:c r="G178" s="26"/>
      <x:c r="I178" s="28" t="str">
        <x:f>IF($A178="","",IF(ISNUMBER($B178),TEXT($B178,"yyyy-mm"),LEFT($B178,7)))</x:f>
      </x:c>
      <x:c r="J178" s="29" t="str">
        <x:f>IF($A178="","",IF($H178="Completed",$E178*$F178,0))</x:f>
      </x:c>
      <x:c r="K178" s="29" t="str">
        <x:f>IF($A178="","",IF($H178="Completed",$E178*$G178,0))</x:f>
      </x:c>
      <x:c r="L178" s="29" t="str">
        <x:f>IF($A178="","",J178-K178)</x:f>
      </x:c>
    </x:row>
    <x:row r="179">
      <x:c r="F179" s="26"/>
      <x:c r="G179" s="26"/>
      <x:c r="I179" s="28" t="str">
        <x:f>IF($A179="","",IF(ISNUMBER($B179),TEXT($B179,"yyyy-mm"),LEFT($B179,7)))</x:f>
      </x:c>
      <x:c r="J179" s="29" t="str">
        <x:f>IF($A179="","",IF($H179="Completed",$E179*$F179,0))</x:f>
      </x:c>
      <x:c r="K179" s="29" t="str">
        <x:f>IF($A179="","",IF($H179="Completed",$E179*$G179,0))</x:f>
      </x:c>
      <x:c r="L179" s="29" t="str">
        <x:f>IF($A179="","",J179-K179)</x:f>
      </x:c>
    </x:row>
    <x:row r="180">
      <x:c r="F180" s="26"/>
      <x:c r="G180" s="26"/>
      <x:c r="I180" s="28" t="str">
        <x:f>IF($A180="","",IF(ISNUMBER($B180),TEXT($B180,"yyyy-mm"),LEFT($B180,7)))</x:f>
      </x:c>
      <x:c r="J180" s="29" t="str">
        <x:f>IF($A180="","",IF($H180="Completed",$E180*$F180,0))</x:f>
      </x:c>
      <x:c r="K180" s="29" t="str">
        <x:f>IF($A180="","",IF($H180="Completed",$E180*$G180,0))</x:f>
      </x:c>
      <x:c r="L180" s="29" t="str">
        <x:f>IF($A180="","",J180-K180)</x:f>
      </x:c>
    </x:row>
    <x:row r="181">
      <x:c r="F181" s="26"/>
      <x:c r="G181" s="26"/>
      <x:c r="I181" s="28" t="str">
        <x:f>IF($A181="","",IF(ISNUMBER($B181),TEXT($B181,"yyyy-mm"),LEFT($B181,7)))</x:f>
      </x:c>
      <x:c r="J181" s="29" t="str">
        <x:f>IF($A181="","",IF($H181="Completed",$E181*$F181,0))</x:f>
      </x:c>
      <x:c r="K181" s="29" t="str">
        <x:f>IF($A181="","",IF($H181="Completed",$E181*$G181,0))</x:f>
      </x:c>
      <x:c r="L181" s="29" t="str">
        <x:f>IF($A181="","",J181-K181)</x:f>
      </x:c>
    </x:row>
    <x:row r="182">
      <x:c r="F182" s="26"/>
      <x:c r="G182" s="26"/>
      <x:c r="I182" s="28" t="str">
        <x:f>IF($A182="","",IF(ISNUMBER($B182),TEXT($B182,"yyyy-mm"),LEFT($B182,7)))</x:f>
      </x:c>
      <x:c r="J182" s="29" t="str">
        <x:f>IF($A182="","",IF($H182="Completed",$E182*$F182,0))</x:f>
      </x:c>
      <x:c r="K182" s="29" t="str">
        <x:f>IF($A182="","",IF($H182="Completed",$E182*$G182,0))</x:f>
      </x:c>
      <x:c r="L182" s="29" t="str">
        <x:f>IF($A182="","",J182-K182)</x:f>
      </x:c>
    </x:row>
    <x:row r="183">
      <x:c r="F183" s="26"/>
      <x:c r="G183" s="26"/>
      <x:c r="I183" s="28" t="str">
        <x:f>IF($A183="","",IF(ISNUMBER($B183),TEXT($B183,"yyyy-mm"),LEFT($B183,7)))</x:f>
      </x:c>
      <x:c r="J183" s="29" t="str">
        <x:f>IF($A183="","",IF($H183="Completed",$E183*$F183,0))</x:f>
      </x:c>
      <x:c r="K183" s="29" t="str">
        <x:f>IF($A183="","",IF($H183="Completed",$E183*$G183,0))</x:f>
      </x:c>
      <x:c r="L183" s="29" t="str">
        <x:f>IF($A183="","",J183-K183)</x:f>
      </x:c>
    </x:row>
    <x:row r="184">
      <x:c r="F184" s="26"/>
      <x:c r="G184" s="26"/>
      <x:c r="I184" s="28" t="str">
        <x:f>IF($A184="","",IF(ISNUMBER($B184),TEXT($B184,"yyyy-mm"),LEFT($B184,7)))</x:f>
      </x:c>
      <x:c r="J184" s="29" t="str">
        <x:f>IF($A184="","",IF($H184="Completed",$E184*$F184,0))</x:f>
      </x:c>
      <x:c r="K184" s="29" t="str">
        <x:f>IF($A184="","",IF($H184="Completed",$E184*$G184,0))</x:f>
      </x:c>
      <x:c r="L184" s="29" t="str">
        <x:f>IF($A184="","",J184-K184)</x:f>
      </x:c>
    </x:row>
    <x:row r="185">
      <x:c r="F185" s="26"/>
      <x:c r="G185" s="26"/>
      <x:c r="I185" s="28" t="str">
        <x:f>IF($A185="","",IF(ISNUMBER($B185),TEXT($B185,"yyyy-mm"),LEFT($B185,7)))</x:f>
      </x:c>
      <x:c r="J185" s="29" t="str">
        <x:f>IF($A185="","",IF($H185="Completed",$E185*$F185,0))</x:f>
      </x:c>
      <x:c r="K185" s="29" t="str">
        <x:f>IF($A185="","",IF($H185="Completed",$E185*$G185,0))</x:f>
      </x:c>
      <x:c r="L185" s="29" t="str">
        <x:f>IF($A185="","",J185-K185)</x:f>
      </x:c>
    </x:row>
    <x:row r="186">
      <x:c r="F186" s="26"/>
      <x:c r="G186" s="26"/>
      <x:c r="I186" s="28" t="str">
        <x:f>IF($A186="","",IF(ISNUMBER($B186),TEXT($B186,"yyyy-mm"),LEFT($B186,7)))</x:f>
      </x:c>
      <x:c r="J186" s="29" t="str">
        <x:f>IF($A186="","",IF($H186="Completed",$E186*$F186,0))</x:f>
      </x:c>
      <x:c r="K186" s="29" t="str">
        <x:f>IF($A186="","",IF($H186="Completed",$E186*$G186,0))</x:f>
      </x:c>
      <x:c r="L186" s="29" t="str">
        <x:f>IF($A186="","",J186-K186)</x:f>
      </x:c>
    </x:row>
    <x:row r="187">
      <x:c r="F187" s="26"/>
      <x:c r="G187" s="26"/>
      <x:c r="I187" s="28" t="str">
        <x:f>IF($A187="","",IF(ISNUMBER($B187),TEXT($B187,"yyyy-mm"),LEFT($B187,7)))</x:f>
      </x:c>
      <x:c r="J187" s="29" t="str">
        <x:f>IF($A187="","",IF($H187="Completed",$E187*$F187,0))</x:f>
      </x:c>
      <x:c r="K187" s="29" t="str">
        <x:f>IF($A187="","",IF($H187="Completed",$E187*$G187,0))</x:f>
      </x:c>
      <x:c r="L187" s="29" t="str">
        <x:f>IF($A187="","",J187-K187)</x:f>
      </x:c>
    </x:row>
    <x:row r="188">
      <x:c r="F188" s="26"/>
      <x:c r="G188" s="26"/>
      <x:c r="I188" s="28" t="str">
        <x:f>IF($A188="","",IF(ISNUMBER($B188),TEXT($B188,"yyyy-mm"),LEFT($B188,7)))</x:f>
      </x:c>
      <x:c r="J188" s="29" t="str">
        <x:f>IF($A188="","",IF($H188="Completed",$E188*$F188,0))</x:f>
      </x:c>
      <x:c r="K188" s="29" t="str">
        <x:f>IF($A188="","",IF($H188="Completed",$E188*$G188,0))</x:f>
      </x:c>
      <x:c r="L188" s="29" t="str">
        <x:f>IF($A188="","",J188-K188)</x:f>
      </x:c>
    </x:row>
    <x:row r="189">
      <x:c r="F189" s="26"/>
      <x:c r="G189" s="26"/>
      <x:c r="I189" s="28" t="str">
        <x:f>IF($A189="","",IF(ISNUMBER($B189),TEXT($B189,"yyyy-mm"),LEFT($B189,7)))</x:f>
      </x:c>
      <x:c r="J189" s="29" t="str">
        <x:f>IF($A189="","",IF($H189="Completed",$E189*$F189,0))</x:f>
      </x:c>
      <x:c r="K189" s="29" t="str">
        <x:f>IF($A189="","",IF($H189="Completed",$E189*$G189,0))</x:f>
      </x:c>
      <x:c r="L189" s="29" t="str">
        <x:f>IF($A189="","",J189-K189)</x:f>
      </x:c>
    </x:row>
    <x:row r="190">
      <x:c r="F190" s="26"/>
      <x:c r="G190" s="26"/>
      <x:c r="I190" s="28" t="str">
        <x:f>IF($A190="","",IF(ISNUMBER($B190),TEXT($B190,"yyyy-mm"),LEFT($B190,7)))</x:f>
      </x:c>
      <x:c r="J190" s="29" t="str">
        <x:f>IF($A190="","",IF($H190="Completed",$E190*$F190,0))</x:f>
      </x:c>
      <x:c r="K190" s="29" t="str">
        <x:f>IF($A190="","",IF($H190="Completed",$E190*$G190,0))</x:f>
      </x:c>
      <x:c r="L190" s="29" t="str">
        <x:f>IF($A190="","",J190-K190)</x:f>
      </x:c>
    </x:row>
    <x:row r="191">
      <x:c r="F191" s="26"/>
      <x:c r="G191" s="26"/>
      <x:c r="I191" s="28" t="str">
        <x:f>IF($A191="","",IF(ISNUMBER($B191),TEXT($B191,"yyyy-mm"),LEFT($B191,7)))</x:f>
      </x:c>
      <x:c r="J191" s="29" t="str">
        <x:f>IF($A191="","",IF($H191="Completed",$E191*$F191,0))</x:f>
      </x:c>
      <x:c r="K191" s="29" t="str">
        <x:f>IF($A191="","",IF($H191="Completed",$E191*$G191,0))</x:f>
      </x:c>
      <x:c r="L191" s="29" t="str">
        <x:f>IF($A191="","",J191-K191)</x:f>
      </x:c>
    </x:row>
    <x:row r="192">
      <x:c r="F192" s="26"/>
      <x:c r="G192" s="26"/>
      <x:c r="I192" s="28" t="str">
        <x:f>IF($A192="","",IF(ISNUMBER($B192),TEXT($B192,"yyyy-mm"),LEFT($B192,7)))</x:f>
      </x:c>
      <x:c r="J192" s="29" t="str">
        <x:f>IF($A192="","",IF($H192="Completed",$E192*$F192,0))</x:f>
      </x:c>
      <x:c r="K192" s="29" t="str">
        <x:f>IF($A192="","",IF($H192="Completed",$E192*$G192,0))</x:f>
      </x:c>
      <x:c r="L192" s="29" t="str">
        <x:f>IF($A192="","",J192-K192)</x:f>
      </x:c>
    </x:row>
    <x:row r="193">
      <x:c r="F193" s="26"/>
      <x:c r="G193" s="26"/>
      <x:c r="I193" s="28" t="str">
        <x:f>IF($A193="","",IF(ISNUMBER($B193),TEXT($B193,"yyyy-mm"),LEFT($B193,7)))</x:f>
      </x:c>
      <x:c r="J193" s="29" t="str">
        <x:f>IF($A193="","",IF($H193="Completed",$E193*$F193,0))</x:f>
      </x:c>
      <x:c r="K193" s="29" t="str">
        <x:f>IF($A193="","",IF($H193="Completed",$E193*$G193,0))</x:f>
      </x:c>
      <x:c r="L193" s="29" t="str">
        <x:f>IF($A193="","",J193-K193)</x:f>
      </x:c>
    </x:row>
    <x:row r="194">
      <x:c r="F194" s="26"/>
      <x:c r="G194" s="26"/>
      <x:c r="I194" s="28" t="str">
        <x:f>IF($A194="","",IF(ISNUMBER($B194),TEXT($B194,"yyyy-mm"),LEFT($B194,7)))</x:f>
      </x:c>
      <x:c r="J194" s="29" t="str">
        <x:f>IF($A194="","",IF($H194="Completed",$E194*$F194,0))</x:f>
      </x:c>
      <x:c r="K194" s="29" t="str">
        <x:f>IF($A194="","",IF($H194="Completed",$E194*$G194,0))</x:f>
      </x:c>
      <x:c r="L194" s="29" t="str">
        <x:f>IF($A194="","",J194-K194)</x:f>
      </x:c>
    </x:row>
    <x:row r="195">
      <x:c r="F195" s="26"/>
      <x:c r="G195" s="26"/>
      <x:c r="I195" s="28" t="str">
        <x:f>IF($A195="","",IF(ISNUMBER($B195),TEXT($B195,"yyyy-mm"),LEFT($B195,7)))</x:f>
      </x:c>
      <x:c r="J195" s="29" t="str">
        <x:f>IF($A195="","",IF($H195="Completed",$E195*$F195,0))</x:f>
      </x:c>
      <x:c r="K195" s="29" t="str">
        <x:f>IF($A195="","",IF($H195="Completed",$E195*$G195,0))</x:f>
      </x:c>
      <x:c r="L195" s="29" t="str">
        <x:f>IF($A195="","",J195-K195)</x:f>
      </x:c>
    </x:row>
    <x:row r="196">
      <x:c r="F196" s="26"/>
      <x:c r="G196" s="26"/>
      <x:c r="I196" s="28" t="str">
        <x:f>IF($A196="","",IF(ISNUMBER($B196),TEXT($B196,"yyyy-mm"),LEFT($B196,7)))</x:f>
      </x:c>
      <x:c r="J196" s="29" t="str">
        <x:f>IF($A196="","",IF($H196="Completed",$E196*$F196,0))</x:f>
      </x:c>
      <x:c r="K196" s="29" t="str">
        <x:f>IF($A196="","",IF($H196="Completed",$E196*$G196,0))</x:f>
      </x:c>
      <x:c r="L196" s="29" t="str">
        <x:f>IF($A196="","",J196-K196)</x:f>
      </x:c>
    </x:row>
    <x:row r="197">
      <x:c r="F197" s="26"/>
      <x:c r="G197" s="26"/>
      <x:c r="I197" s="28" t="str">
        <x:f>IF($A197="","",IF(ISNUMBER($B197),TEXT($B197,"yyyy-mm"),LEFT($B197,7)))</x:f>
      </x:c>
      <x:c r="J197" s="29" t="str">
        <x:f>IF($A197="","",IF($H197="Completed",$E197*$F197,0))</x:f>
      </x:c>
      <x:c r="K197" s="29" t="str">
        <x:f>IF($A197="","",IF($H197="Completed",$E197*$G197,0))</x:f>
      </x:c>
      <x:c r="L197" s="29" t="str">
        <x:f>IF($A197="","",J197-K197)</x:f>
      </x:c>
    </x:row>
    <x:row r="198">
      <x:c r="F198" s="26"/>
      <x:c r="G198" s="26"/>
      <x:c r="I198" s="28" t="str">
        <x:f>IF($A198="","",IF(ISNUMBER($B198),TEXT($B198,"yyyy-mm"),LEFT($B198,7)))</x:f>
      </x:c>
      <x:c r="J198" s="29" t="str">
        <x:f>IF($A198="","",IF($H198="Completed",$E198*$F198,0))</x:f>
      </x:c>
      <x:c r="K198" s="29" t="str">
        <x:f>IF($A198="","",IF($H198="Completed",$E198*$G198,0))</x:f>
      </x:c>
      <x:c r="L198" s="29" t="str">
        <x:f>IF($A198="","",J198-K198)</x:f>
      </x:c>
    </x:row>
    <x:row r="199">
      <x:c r="F199" s="26"/>
      <x:c r="G199" s="26"/>
      <x:c r="I199" s="28" t="str">
        <x:f>IF($A199="","",IF(ISNUMBER($B199),TEXT($B199,"yyyy-mm"),LEFT($B199,7)))</x:f>
      </x:c>
      <x:c r="J199" s="29" t="str">
        <x:f>IF($A199="","",IF($H199="Completed",$E199*$F199,0))</x:f>
      </x:c>
      <x:c r="K199" s="29" t="str">
        <x:f>IF($A199="","",IF($H199="Completed",$E199*$G199,0))</x:f>
      </x:c>
      <x:c r="L199" s="29" t="str">
        <x:f>IF($A199="","",J199-K199)</x:f>
      </x:c>
    </x:row>
    <x:row r="200">
      <x:c r="F200" s="26"/>
      <x:c r="G200" s="26"/>
      <x:c r="I200" s="28" t="str">
        <x:f>IF($A200="","",IF(ISNUMBER($B200),TEXT($B200,"yyyy-mm"),LEFT($B200,7)))</x:f>
      </x:c>
      <x:c r="J200" s="29" t="str">
        <x:f>IF($A200="","",IF($H200="Completed",$E200*$F200,0))</x:f>
      </x:c>
      <x:c r="K200" s="29" t="str">
        <x:f>IF($A200="","",IF($H200="Completed",$E200*$G200,0))</x:f>
      </x:c>
      <x:c r="L200" s="29" t="str">
        <x:f>IF($A200="","",J200-K200)</x:f>
      </x:c>
    </x:row>
    <x:row r="201">
      <x:c r="F201" s="26"/>
      <x:c r="G201" s="26"/>
      <x:c r="I201" s="28" t="str">
        <x:f>IF($A201="","",IF(ISNUMBER($B201),TEXT($B201,"yyyy-mm"),LEFT($B201,7)))</x:f>
      </x:c>
      <x:c r="J201" s="29" t="str">
        <x:f>IF($A201="","",IF($H201="Completed",$E201*$F201,0))</x:f>
      </x:c>
      <x:c r="K201" s="29" t="str">
        <x:f>IF($A201="","",IF($H201="Completed",$E201*$G201,0))</x:f>
      </x:c>
      <x:c r="L201" s="29" t="str">
        <x:f>IF($A201="","",J201-K201)</x:f>
      </x:c>
    </x:row>
    <x:row r="202">
      <x:c r="F202" s="26"/>
      <x:c r="G202" s="26"/>
      <x:c r="I202" s="28" t="str">
        <x:f>IF($A202="","",IF(ISNUMBER($B202),TEXT($B202,"yyyy-mm"),LEFT($B202,7)))</x:f>
      </x:c>
      <x:c r="J202" s="29" t="str">
        <x:f>IF($A202="","",IF($H202="Completed",$E202*$F202,0))</x:f>
      </x:c>
      <x:c r="K202" s="29" t="str">
        <x:f>IF($A202="","",IF($H202="Completed",$E202*$G202,0))</x:f>
      </x:c>
      <x:c r="L202" s="29" t="str">
        <x:f>IF($A202="","",J202-K202)</x:f>
      </x:c>
    </x:row>
    <x:row r="203">
      <x:c r="F203" s="26"/>
      <x:c r="G203" s="26"/>
      <x:c r="I203" s="28" t="str">
        <x:f>IF($A203="","",IF(ISNUMBER($B203),TEXT($B203,"yyyy-mm"),LEFT($B203,7)))</x:f>
      </x:c>
      <x:c r="J203" s="29" t="str">
        <x:f>IF($A203="","",IF($H203="Completed",$E203*$F203,0))</x:f>
      </x:c>
      <x:c r="K203" s="29" t="str">
        <x:f>IF($A203="","",IF($H203="Completed",$E203*$G203,0))</x:f>
      </x:c>
      <x:c r="L203" s="29" t="str">
        <x:f>IF($A203="","",J203-K203)</x:f>
      </x:c>
    </x:row>
    <x:row r="204">
      <x:c r="F204" s="26"/>
      <x:c r="G204" s="26"/>
      <x:c r="I204" s="28" t="str">
        <x:f>IF($A204="","",IF(ISNUMBER($B204),TEXT($B204,"yyyy-mm"),LEFT($B204,7)))</x:f>
      </x:c>
      <x:c r="J204" s="29" t="str">
        <x:f>IF($A204="","",IF($H204="Completed",$E204*$F204,0))</x:f>
      </x:c>
      <x:c r="K204" s="29" t="str">
        <x:f>IF($A204="","",IF($H204="Completed",$E204*$G204,0))</x:f>
      </x:c>
      <x:c r="L204" s="29" t="str">
        <x:f>IF($A204="","",J204-K204)</x:f>
      </x:c>
    </x:row>
    <x:row r="205">
      <x:c r="F205" s="26"/>
      <x:c r="G205" s="26"/>
      <x:c r="I205" s="28" t="str">
        <x:f>IF($A205="","",IF(ISNUMBER($B205),TEXT($B205,"yyyy-mm"),LEFT($B205,7)))</x:f>
      </x:c>
      <x:c r="J205" s="29" t="str">
        <x:f>IF($A205="","",IF($H205="Completed",$E205*$F205,0))</x:f>
      </x:c>
      <x:c r="K205" s="29" t="str">
        <x:f>IF($A205="","",IF($H205="Completed",$E205*$G205,0))</x:f>
      </x:c>
      <x:c r="L205" s="29" t="str">
        <x:f>IF($A205="","",J205-K205)</x:f>
      </x:c>
    </x:row>
    <x:row r="206">
      <x:c r="F206" s="26"/>
      <x:c r="G206" s="26"/>
      <x:c r="I206" s="28" t="str">
        <x:f>IF($A206="","",IF(ISNUMBER($B206),TEXT($B206,"yyyy-mm"),LEFT($B206,7)))</x:f>
      </x:c>
      <x:c r="J206" s="29" t="str">
        <x:f>IF($A206="","",IF($H206="Completed",$E206*$F206,0))</x:f>
      </x:c>
      <x:c r="K206" s="29" t="str">
        <x:f>IF($A206="","",IF($H206="Completed",$E206*$G206,0))</x:f>
      </x:c>
      <x:c r="L206" s="29" t="str">
        <x:f>IF($A206="","",J206-K206)</x:f>
      </x:c>
    </x:row>
    <x:row r="207">
      <x:c r="F207" s="26"/>
      <x:c r="G207" s="26"/>
      <x:c r="I207" s="28" t="str">
        <x:f>IF($A207="","",IF(ISNUMBER($B207),TEXT($B207,"yyyy-mm"),LEFT($B207,7)))</x:f>
      </x:c>
      <x:c r="J207" s="29" t="str">
        <x:f>IF($A207="","",IF($H207="Completed",$E207*$F207,0))</x:f>
      </x:c>
      <x:c r="K207" s="29" t="str">
        <x:f>IF($A207="","",IF($H207="Completed",$E207*$G207,0))</x:f>
      </x:c>
      <x:c r="L207" s="29" t="str">
        <x:f>IF($A207="","",J207-K207)</x:f>
      </x:c>
    </x:row>
    <x:row r="208">
      <x:c r="F208" s="26"/>
      <x:c r="G208" s="26"/>
      <x:c r="I208" s="28" t="str">
        <x:f>IF($A208="","",IF(ISNUMBER($B208),TEXT($B208,"yyyy-mm"),LEFT($B208,7)))</x:f>
      </x:c>
      <x:c r="J208" s="29" t="str">
        <x:f>IF($A208="","",IF($H208="Completed",$E208*$F208,0))</x:f>
      </x:c>
      <x:c r="K208" s="29" t="str">
        <x:f>IF($A208="","",IF($H208="Completed",$E208*$G208,0))</x:f>
      </x:c>
      <x:c r="L208" s="29" t="str">
        <x:f>IF($A208="","",J208-K208)</x:f>
      </x:c>
    </x:row>
    <x:row r="209">
      <x:c r="F209" s="26"/>
      <x:c r="G209" s="26"/>
      <x:c r="I209" s="28" t="str">
        <x:f>IF($A209="","",IF(ISNUMBER($B209),TEXT($B209,"yyyy-mm"),LEFT($B209,7)))</x:f>
      </x:c>
      <x:c r="J209" s="29" t="str">
        <x:f>IF($A209="","",IF($H209="Completed",$E209*$F209,0))</x:f>
      </x:c>
      <x:c r="K209" s="29" t="str">
        <x:f>IF($A209="","",IF($H209="Completed",$E209*$G209,0))</x:f>
      </x:c>
      <x:c r="L209" s="29" t="str">
        <x:f>IF($A209="","",J209-K209)</x:f>
      </x:c>
    </x:row>
    <x:row r="210">
      <x:c r="F210" s="26"/>
      <x:c r="G210" s="26"/>
      <x:c r="I210" s="28" t="str">
        <x:f>IF($A210="","",IF(ISNUMBER($B210),TEXT($B210,"yyyy-mm"),LEFT($B210,7)))</x:f>
      </x:c>
      <x:c r="J210" s="29" t="str">
        <x:f>IF($A210="","",IF($H210="Completed",$E210*$F210,0))</x:f>
      </x:c>
      <x:c r="K210" s="29" t="str">
        <x:f>IF($A210="","",IF($H210="Completed",$E210*$G210,0))</x:f>
      </x:c>
      <x:c r="L210" s="29" t="str">
        <x:f>IF($A210="","",J210-K210)</x:f>
      </x:c>
    </x:row>
    <x:row r="211">
      <x:c r="F211" s="26"/>
      <x:c r="G211" s="26"/>
      <x:c r="I211" s="28" t="str">
        <x:f>IF($A211="","",IF(ISNUMBER($B211),TEXT($B211,"yyyy-mm"),LEFT($B211,7)))</x:f>
      </x:c>
      <x:c r="J211" s="29" t="str">
        <x:f>IF($A211="","",IF($H211="Completed",$E211*$F211,0))</x:f>
      </x:c>
      <x:c r="K211" s="29" t="str">
        <x:f>IF($A211="","",IF($H211="Completed",$E211*$G211,0))</x:f>
      </x:c>
      <x:c r="L211" s="29" t="str">
        <x:f>IF($A211="","",J211-K211)</x:f>
      </x:c>
    </x:row>
    <x:row r="212">
      <x:c r="F212" s="26"/>
      <x:c r="G212" s="26"/>
      <x:c r="I212" s="28" t="str">
        <x:f>IF($A212="","",IF(ISNUMBER($B212),TEXT($B212,"yyyy-mm"),LEFT($B212,7)))</x:f>
      </x:c>
      <x:c r="J212" s="29" t="str">
        <x:f>IF($A212="","",IF($H212="Completed",$E212*$F212,0))</x:f>
      </x:c>
      <x:c r="K212" s="29" t="str">
        <x:f>IF($A212="","",IF($H212="Completed",$E212*$G212,0))</x:f>
      </x:c>
      <x:c r="L212" s="29" t="str">
        <x:f>IF($A212="","",J212-K212)</x:f>
      </x:c>
    </x:row>
    <x:row r="213">
      <x:c r="F213" s="26"/>
      <x:c r="G213" s="26"/>
      <x:c r="I213" s="28" t="str">
        <x:f>IF($A213="","",IF(ISNUMBER($B213),TEXT($B213,"yyyy-mm"),LEFT($B213,7)))</x:f>
      </x:c>
      <x:c r="J213" s="29" t="str">
        <x:f>IF($A213="","",IF($H213="Completed",$E213*$F213,0))</x:f>
      </x:c>
      <x:c r="K213" s="29" t="str">
        <x:f>IF($A213="","",IF($H213="Completed",$E213*$G213,0))</x:f>
      </x:c>
      <x:c r="L213" s="29" t="str">
        <x:f>IF($A213="","",J213-K213)</x:f>
      </x:c>
    </x:row>
    <x:row r="214">
      <x:c r="F214" s="26"/>
      <x:c r="G214" s="26"/>
      <x:c r="I214" s="28" t="str">
        <x:f>IF($A214="","",IF(ISNUMBER($B214),TEXT($B214,"yyyy-mm"),LEFT($B214,7)))</x:f>
      </x:c>
      <x:c r="J214" s="29" t="str">
        <x:f>IF($A214="","",IF($H214="Completed",$E214*$F214,0))</x:f>
      </x:c>
      <x:c r="K214" s="29" t="str">
        <x:f>IF($A214="","",IF($H214="Completed",$E214*$G214,0))</x:f>
      </x:c>
      <x:c r="L214" s="29" t="str">
        <x:f>IF($A214="","",J214-K214)</x:f>
      </x:c>
    </x:row>
    <x:row r="215">
      <x:c r="F215" s="26"/>
      <x:c r="G215" s="26"/>
      <x:c r="I215" s="28" t="str">
        <x:f>IF($A215="","",IF(ISNUMBER($B215),TEXT($B215,"yyyy-mm"),LEFT($B215,7)))</x:f>
      </x:c>
      <x:c r="J215" s="29" t="str">
        <x:f>IF($A215="","",IF($H215="Completed",$E215*$F215,0))</x:f>
      </x:c>
      <x:c r="K215" s="29" t="str">
        <x:f>IF($A215="","",IF($H215="Completed",$E215*$G215,0))</x:f>
      </x:c>
      <x:c r="L215" s="29" t="str">
        <x:f>IF($A215="","",J215-K215)</x:f>
      </x:c>
    </x:row>
    <x:row r="216">
      <x:c r="F216" s="26"/>
      <x:c r="G216" s="26"/>
      <x:c r="I216" s="28" t="str">
        <x:f>IF($A216="","",IF(ISNUMBER($B216),TEXT($B216,"yyyy-mm"),LEFT($B216,7)))</x:f>
      </x:c>
      <x:c r="J216" s="29" t="str">
        <x:f>IF($A216="","",IF($H216="Completed",$E216*$F216,0))</x:f>
      </x:c>
      <x:c r="K216" s="29" t="str">
        <x:f>IF($A216="","",IF($H216="Completed",$E216*$G216,0))</x:f>
      </x:c>
      <x:c r="L216" s="29" t="str">
        <x:f>IF($A216="","",J216-K216)</x:f>
      </x:c>
    </x:row>
    <x:row r="217">
      <x:c r="F217" s="26"/>
      <x:c r="G217" s="26"/>
      <x:c r="I217" s="28" t="str">
        <x:f>IF($A217="","",IF(ISNUMBER($B217),TEXT($B217,"yyyy-mm"),LEFT($B217,7)))</x:f>
      </x:c>
      <x:c r="J217" s="29" t="str">
        <x:f>IF($A217="","",IF($H217="Completed",$E217*$F217,0))</x:f>
      </x:c>
      <x:c r="K217" s="29" t="str">
        <x:f>IF($A217="","",IF($H217="Completed",$E217*$G217,0))</x:f>
      </x:c>
      <x:c r="L217" s="29" t="str">
        <x:f>IF($A217="","",J217-K217)</x:f>
      </x:c>
    </x:row>
    <x:row r="218">
      <x:c r="F218" s="26"/>
      <x:c r="G218" s="26"/>
      <x:c r="I218" s="28" t="str">
        <x:f>IF($A218="","",IF(ISNUMBER($B218),TEXT($B218,"yyyy-mm"),LEFT($B218,7)))</x:f>
      </x:c>
      <x:c r="J218" s="29" t="str">
        <x:f>IF($A218="","",IF($H218="Completed",$E218*$F218,0))</x:f>
      </x:c>
      <x:c r="K218" s="29" t="str">
        <x:f>IF($A218="","",IF($H218="Completed",$E218*$G218,0))</x:f>
      </x:c>
      <x:c r="L218" s="29" t="str">
        <x:f>IF($A218="","",J218-K218)</x:f>
      </x:c>
    </x:row>
    <x:row r="219">
      <x:c r="F219" s="26"/>
      <x:c r="G219" s="26"/>
      <x:c r="I219" s="28" t="str">
        <x:f>IF($A219="","",IF(ISNUMBER($B219),TEXT($B219,"yyyy-mm"),LEFT($B219,7)))</x:f>
      </x:c>
      <x:c r="J219" s="29" t="str">
        <x:f>IF($A219="","",IF($H219="Completed",$E219*$F219,0))</x:f>
      </x:c>
      <x:c r="K219" s="29" t="str">
        <x:f>IF($A219="","",IF($H219="Completed",$E219*$G219,0))</x:f>
      </x:c>
      <x:c r="L219" s="29" t="str">
        <x:f>IF($A219="","",J219-K219)</x:f>
      </x:c>
    </x:row>
    <x:row r="220">
      <x:c r="F220" s="26"/>
      <x:c r="G220" s="26"/>
      <x:c r="I220" s="28" t="str">
        <x:f>IF($A220="","",IF(ISNUMBER($B220),TEXT($B220,"yyyy-mm"),LEFT($B220,7)))</x:f>
      </x:c>
      <x:c r="J220" s="29" t="str">
        <x:f>IF($A220="","",IF($H220="Completed",$E220*$F220,0))</x:f>
      </x:c>
      <x:c r="K220" s="29" t="str">
        <x:f>IF($A220="","",IF($H220="Completed",$E220*$G220,0))</x:f>
      </x:c>
      <x:c r="L220" s="29" t="str">
        <x:f>IF($A220="","",J220-K220)</x:f>
      </x:c>
    </x:row>
    <x:row r="221">
      <x:c r="F221" s="26"/>
      <x:c r="G221" s="26"/>
      <x:c r="I221" s="28" t="str">
        <x:f>IF($A221="","",IF(ISNUMBER($B221),TEXT($B221,"yyyy-mm"),LEFT($B221,7)))</x:f>
      </x:c>
      <x:c r="J221" s="29" t="str">
        <x:f>IF($A221="","",IF($H221="Completed",$E221*$F221,0))</x:f>
      </x:c>
      <x:c r="K221" s="29" t="str">
        <x:f>IF($A221="","",IF($H221="Completed",$E221*$G221,0))</x:f>
      </x:c>
      <x:c r="L221" s="29" t="str">
        <x:f>IF($A221="","",J221-K221)</x:f>
      </x:c>
    </x:row>
    <x:row r="222">
      <x:c r="F222" s="26"/>
      <x:c r="G222" s="26"/>
      <x:c r="I222" s="28" t="str">
        <x:f>IF($A222="","",IF(ISNUMBER($B222),TEXT($B222,"yyyy-mm"),LEFT($B222,7)))</x:f>
      </x:c>
      <x:c r="J222" s="29" t="str">
        <x:f>IF($A222="","",IF($H222="Completed",$E222*$F222,0))</x:f>
      </x:c>
      <x:c r="K222" s="29" t="str">
        <x:f>IF($A222="","",IF($H222="Completed",$E222*$G222,0))</x:f>
      </x:c>
      <x:c r="L222" s="29" t="str">
        <x:f>IF($A222="","",J222-K222)</x:f>
      </x:c>
    </x:row>
    <x:row r="223">
      <x:c r="F223" s="26"/>
      <x:c r="G223" s="26"/>
      <x:c r="I223" s="28" t="str">
        <x:f>IF($A223="","",IF(ISNUMBER($B223),TEXT($B223,"yyyy-mm"),LEFT($B223,7)))</x:f>
      </x:c>
      <x:c r="J223" s="29" t="str">
        <x:f>IF($A223="","",IF($H223="Completed",$E223*$F223,0))</x:f>
      </x:c>
      <x:c r="K223" s="29" t="str">
        <x:f>IF($A223="","",IF($H223="Completed",$E223*$G223,0))</x:f>
      </x:c>
      <x:c r="L223" s="29" t="str">
        <x:f>IF($A223="","",J223-K223)</x:f>
      </x:c>
    </x:row>
    <x:row r="224">
      <x:c r="F224" s="26"/>
      <x:c r="G224" s="26"/>
      <x:c r="I224" s="28" t="str">
        <x:f>IF($A224="","",IF(ISNUMBER($B224),TEXT($B224,"yyyy-mm"),LEFT($B224,7)))</x:f>
      </x:c>
      <x:c r="J224" s="29" t="str">
        <x:f>IF($A224="","",IF($H224="Completed",$E224*$F224,0))</x:f>
      </x:c>
      <x:c r="K224" s="29" t="str">
        <x:f>IF($A224="","",IF($H224="Completed",$E224*$G224,0))</x:f>
      </x:c>
      <x:c r="L224" s="29" t="str">
        <x:f>IF($A224="","",J224-K224)</x:f>
      </x:c>
    </x:row>
    <x:row r="225">
      <x:c r="F225" s="26"/>
      <x:c r="G225" s="26"/>
      <x:c r="I225" s="28" t="str">
        <x:f>IF($A225="","",IF(ISNUMBER($B225),TEXT($B225,"yyyy-mm"),LEFT($B225,7)))</x:f>
      </x:c>
      <x:c r="J225" s="29" t="str">
        <x:f>IF($A225="","",IF($H225="Completed",$E225*$F225,0))</x:f>
      </x:c>
      <x:c r="K225" s="29" t="str">
        <x:f>IF($A225="","",IF($H225="Completed",$E225*$G225,0))</x:f>
      </x:c>
      <x:c r="L225" s="29" t="str">
        <x:f>IF($A225="","",J225-K225)</x:f>
      </x:c>
    </x:row>
    <x:row r="226">
      <x:c r="F226" s="26"/>
      <x:c r="G226" s="26"/>
      <x:c r="I226" s="28" t="str">
        <x:f>IF($A226="","",IF(ISNUMBER($B226),TEXT($B226,"yyyy-mm"),LEFT($B226,7)))</x:f>
      </x:c>
      <x:c r="J226" s="29" t="str">
        <x:f>IF($A226="","",IF($H226="Completed",$E226*$F226,0))</x:f>
      </x:c>
      <x:c r="K226" s="29" t="str">
        <x:f>IF($A226="","",IF($H226="Completed",$E226*$G226,0))</x:f>
      </x:c>
      <x:c r="L226" s="29" t="str">
        <x:f>IF($A226="","",J226-K226)</x:f>
      </x:c>
    </x:row>
    <x:row r="227">
      <x:c r="F227" s="26"/>
      <x:c r="G227" s="26"/>
      <x:c r="I227" s="28" t="str">
        <x:f>IF($A227="","",IF(ISNUMBER($B227),TEXT($B227,"yyyy-mm"),LEFT($B227,7)))</x:f>
      </x:c>
      <x:c r="J227" s="29" t="str">
        <x:f>IF($A227="","",IF($H227="Completed",$E227*$F227,0))</x:f>
      </x:c>
      <x:c r="K227" s="29" t="str">
        <x:f>IF($A227="","",IF($H227="Completed",$E227*$G227,0))</x:f>
      </x:c>
      <x:c r="L227" s="29" t="str">
        <x:f>IF($A227="","",J227-K227)</x:f>
      </x:c>
    </x:row>
    <x:row r="228">
      <x:c r="F228" s="26"/>
      <x:c r="G228" s="26"/>
      <x:c r="I228" s="28" t="str">
        <x:f>IF($A228="","",IF(ISNUMBER($B228),TEXT($B228,"yyyy-mm"),LEFT($B228,7)))</x:f>
      </x:c>
      <x:c r="J228" s="29" t="str">
        <x:f>IF($A228="","",IF($H228="Completed",$E228*$F228,0))</x:f>
      </x:c>
      <x:c r="K228" s="29" t="str">
        <x:f>IF($A228="","",IF($H228="Completed",$E228*$G228,0))</x:f>
      </x:c>
      <x:c r="L228" s="29" t="str">
        <x:f>IF($A228="","",J228-K228)</x:f>
      </x:c>
    </x:row>
    <x:row r="229">
      <x:c r="F229" s="26"/>
      <x:c r="G229" s="26"/>
      <x:c r="I229" s="28" t="str">
        <x:f>IF($A229="","",IF(ISNUMBER($B229),TEXT($B229,"yyyy-mm"),LEFT($B229,7)))</x:f>
      </x:c>
      <x:c r="J229" s="29" t="str">
        <x:f>IF($A229="","",IF($H229="Completed",$E229*$F229,0))</x:f>
      </x:c>
      <x:c r="K229" s="29" t="str">
        <x:f>IF($A229="","",IF($H229="Completed",$E229*$G229,0))</x:f>
      </x:c>
      <x:c r="L229" s="29" t="str">
        <x:f>IF($A229="","",J229-K229)</x:f>
      </x:c>
    </x:row>
    <x:row r="230">
      <x:c r="F230" s="26"/>
      <x:c r="G230" s="26"/>
      <x:c r="I230" s="28" t="str">
        <x:f>IF($A230="","",IF(ISNUMBER($B230),TEXT($B230,"yyyy-mm"),LEFT($B230,7)))</x:f>
      </x:c>
      <x:c r="J230" s="29" t="str">
        <x:f>IF($A230="","",IF($H230="Completed",$E230*$F230,0))</x:f>
      </x:c>
      <x:c r="K230" s="29" t="str">
        <x:f>IF($A230="","",IF($H230="Completed",$E230*$G230,0))</x:f>
      </x:c>
      <x:c r="L230" s="29" t="str">
        <x:f>IF($A230="","",J230-K230)</x:f>
      </x:c>
    </x:row>
    <x:row r="231">
      <x:c r="F231" s="26"/>
      <x:c r="G231" s="26"/>
      <x:c r="I231" s="28" t="str">
        <x:f>IF($A231="","",IF(ISNUMBER($B231),TEXT($B231,"yyyy-mm"),LEFT($B231,7)))</x:f>
      </x:c>
      <x:c r="J231" s="29" t="str">
        <x:f>IF($A231="","",IF($H231="Completed",$E231*$F231,0))</x:f>
      </x:c>
      <x:c r="K231" s="29" t="str">
        <x:f>IF($A231="","",IF($H231="Completed",$E231*$G231,0))</x:f>
      </x:c>
      <x:c r="L231" s="29" t="str">
        <x:f>IF($A231="","",J231-K231)</x:f>
      </x:c>
    </x:row>
    <x:row r="232">
      <x:c r="F232" s="26"/>
      <x:c r="G232" s="26"/>
      <x:c r="I232" s="28" t="str">
        <x:f>IF($A232="","",IF(ISNUMBER($B232),TEXT($B232,"yyyy-mm"),LEFT($B232,7)))</x:f>
      </x:c>
      <x:c r="J232" s="29" t="str">
        <x:f>IF($A232="","",IF($H232="Completed",$E232*$F232,0))</x:f>
      </x:c>
      <x:c r="K232" s="29" t="str">
        <x:f>IF($A232="","",IF($H232="Completed",$E232*$G232,0))</x:f>
      </x:c>
      <x:c r="L232" s="29" t="str">
        <x:f>IF($A232="","",J232-K232)</x:f>
      </x:c>
    </x:row>
    <x:row r="233">
      <x:c r="F233" s="26"/>
      <x:c r="G233" s="26"/>
      <x:c r="I233" s="28" t="str">
        <x:f>IF($A233="","",IF(ISNUMBER($B233),TEXT($B233,"yyyy-mm"),LEFT($B233,7)))</x:f>
      </x:c>
      <x:c r="J233" s="29" t="str">
        <x:f>IF($A233="","",IF($H233="Completed",$E233*$F233,0))</x:f>
      </x:c>
      <x:c r="K233" s="29" t="str">
        <x:f>IF($A233="","",IF($H233="Completed",$E233*$G233,0))</x:f>
      </x:c>
      <x:c r="L233" s="29" t="str">
        <x:f>IF($A233="","",J233-K233)</x:f>
      </x:c>
    </x:row>
    <x:row r="234">
      <x:c r="F234" s="26"/>
      <x:c r="G234" s="26"/>
      <x:c r="I234" s="28" t="str">
        <x:f>IF($A234="","",IF(ISNUMBER($B234),TEXT($B234,"yyyy-mm"),LEFT($B234,7)))</x:f>
      </x:c>
      <x:c r="J234" s="29" t="str">
        <x:f>IF($A234="","",IF($H234="Completed",$E234*$F234,0))</x:f>
      </x:c>
      <x:c r="K234" s="29" t="str">
        <x:f>IF($A234="","",IF($H234="Completed",$E234*$G234,0))</x:f>
      </x:c>
      <x:c r="L234" s="29" t="str">
        <x:f>IF($A234="","",J234-K234)</x:f>
      </x:c>
    </x:row>
    <x:row r="235">
      <x:c r="F235" s="26"/>
      <x:c r="G235" s="26"/>
      <x:c r="I235" s="28" t="str">
        <x:f>IF($A235="","",IF(ISNUMBER($B235),TEXT($B235,"yyyy-mm"),LEFT($B235,7)))</x:f>
      </x:c>
      <x:c r="J235" s="29" t="str">
        <x:f>IF($A235="","",IF($H235="Completed",$E235*$F235,0))</x:f>
      </x:c>
      <x:c r="K235" s="29" t="str">
        <x:f>IF($A235="","",IF($H235="Completed",$E235*$G235,0))</x:f>
      </x:c>
      <x:c r="L235" s="29" t="str">
        <x:f>IF($A235="","",J235-K235)</x:f>
      </x:c>
    </x:row>
    <x:row r="236">
      <x:c r="F236" s="26"/>
      <x:c r="G236" s="26"/>
      <x:c r="I236" s="28" t="str">
        <x:f>IF($A236="","",IF(ISNUMBER($B236),TEXT($B236,"yyyy-mm"),LEFT($B236,7)))</x:f>
      </x:c>
      <x:c r="J236" s="29" t="str">
        <x:f>IF($A236="","",IF($H236="Completed",$E236*$F236,0))</x:f>
      </x:c>
      <x:c r="K236" s="29" t="str">
        <x:f>IF($A236="","",IF($H236="Completed",$E236*$G236,0))</x:f>
      </x:c>
      <x:c r="L236" s="29" t="str">
        <x:f>IF($A236="","",J236-K236)</x:f>
      </x:c>
    </x:row>
    <x:row r="237">
      <x:c r="F237" s="26"/>
      <x:c r="G237" s="26"/>
      <x:c r="I237" s="28" t="str">
        <x:f>IF($A237="","",IF(ISNUMBER($B237),TEXT($B237,"yyyy-mm"),LEFT($B237,7)))</x:f>
      </x:c>
      <x:c r="J237" s="29" t="str">
        <x:f>IF($A237="","",IF($H237="Completed",$E237*$F237,0))</x:f>
      </x:c>
      <x:c r="K237" s="29" t="str">
        <x:f>IF($A237="","",IF($H237="Completed",$E237*$G237,0))</x:f>
      </x:c>
      <x:c r="L237" s="29" t="str">
        <x:f>IF($A237="","",J237-K237)</x:f>
      </x:c>
    </x:row>
    <x:row r="238">
      <x:c r="F238" s="26"/>
      <x:c r="G238" s="26"/>
      <x:c r="I238" s="28" t="str">
        <x:f>IF($A238="","",IF(ISNUMBER($B238),TEXT($B238,"yyyy-mm"),LEFT($B238,7)))</x:f>
      </x:c>
      <x:c r="J238" s="29" t="str">
        <x:f>IF($A238="","",IF($H238="Completed",$E238*$F238,0))</x:f>
      </x:c>
      <x:c r="K238" s="29" t="str">
        <x:f>IF($A238="","",IF($H238="Completed",$E238*$G238,0))</x:f>
      </x:c>
      <x:c r="L238" s="29" t="str">
        <x:f>IF($A238="","",J238-K238)</x:f>
      </x:c>
    </x:row>
    <x:row r="239">
      <x:c r="F239" s="26"/>
      <x:c r="G239" s="26"/>
      <x:c r="I239" s="28" t="str">
        <x:f>IF($A239="","",IF(ISNUMBER($B239),TEXT($B239,"yyyy-mm"),LEFT($B239,7)))</x:f>
      </x:c>
      <x:c r="J239" s="29" t="str">
        <x:f>IF($A239="","",IF($H239="Completed",$E239*$F239,0))</x:f>
      </x:c>
      <x:c r="K239" s="29" t="str">
        <x:f>IF($A239="","",IF($H239="Completed",$E239*$G239,0))</x:f>
      </x:c>
      <x:c r="L239" s="29" t="str">
        <x:f>IF($A239="","",J239-K239)</x:f>
      </x:c>
    </x:row>
    <x:row r="240">
      <x:c r="F240" s="26"/>
      <x:c r="G240" s="26"/>
      <x:c r="I240" s="28" t="str">
        <x:f>IF($A240="","",IF(ISNUMBER($B240),TEXT($B240,"yyyy-mm"),LEFT($B240,7)))</x:f>
      </x:c>
      <x:c r="J240" s="29" t="str">
        <x:f>IF($A240="","",IF($H240="Completed",$E240*$F240,0))</x:f>
      </x:c>
      <x:c r="K240" s="29" t="str">
        <x:f>IF($A240="","",IF($H240="Completed",$E240*$G240,0))</x:f>
      </x:c>
      <x:c r="L240" s="29" t="str">
        <x:f>IF($A240="","",J240-K240)</x:f>
      </x:c>
    </x:row>
    <x:row r="241">
      <x:c r="F241" s="26"/>
      <x:c r="G241" s="26"/>
      <x:c r="I241" s="28" t="str">
        <x:f>IF($A241="","",IF(ISNUMBER($B241),TEXT($B241,"yyyy-mm"),LEFT($B241,7)))</x:f>
      </x:c>
      <x:c r="J241" s="29" t="str">
        <x:f>IF($A241="","",IF($H241="Completed",$E241*$F241,0))</x:f>
      </x:c>
      <x:c r="K241" s="29" t="str">
        <x:f>IF($A241="","",IF($H241="Completed",$E241*$G241,0))</x:f>
      </x:c>
      <x:c r="L241" s="29" t="str">
        <x:f>IF($A241="","",J241-K241)</x:f>
      </x:c>
    </x:row>
    <x:row r="242">
      <x:c r="F242" s="26"/>
      <x:c r="G242" s="26"/>
      <x:c r="I242" s="28" t="str">
        <x:f>IF($A242="","",IF(ISNUMBER($B242),TEXT($B242,"yyyy-mm"),LEFT($B242,7)))</x:f>
      </x:c>
      <x:c r="J242" s="29" t="str">
        <x:f>IF($A242="","",IF($H242="Completed",$E242*$F242,0))</x:f>
      </x:c>
      <x:c r="K242" s="29" t="str">
        <x:f>IF($A242="","",IF($H242="Completed",$E242*$G242,0))</x:f>
      </x:c>
      <x:c r="L242" s="29" t="str">
        <x:f>IF($A242="","",J242-K242)</x:f>
      </x:c>
    </x:row>
    <x:row r="243">
      <x:c r="F243" s="26"/>
      <x:c r="G243" s="26"/>
      <x:c r="I243" s="28" t="str">
        <x:f>IF($A243="","",IF(ISNUMBER($B243),TEXT($B243,"yyyy-mm"),LEFT($B243,7)))</x:f>
      </x:c>
      <x:c r="J243" s="29" t="str">
        <x:f>IF($A243="","",IF($H243="Completed",$E243*$F243,0))</x:f>
      </x:c>
      <x:c r="K243" s="29" t="str">
        <x:f>IF($A243="","",IF($H243="Completed",$E243*$G243,0))</x:f>
      </x:c>
      <x:c r="L243" s="29" t="str">
        <x:f>IF($A243="","",J243-K243)</x:f>
      </x:c>
    </x:row>
    <x:row r="244">
      <x:c r="F244" s="26"/>
      <x:c r="G244" s="26"/>
      <x:c r="I244" s="28" t="str">
        <x:f>IF($A244="","",IF(ISNUMBER($B244),TEXT($B244,"yyyy-mm"),LEFT($B244,7)))</x:f>
      </x:c>
      <x:c r="J244" s="29" t="str">
        <x:f>IF($A244="","",IF($H244="Completed",$E244*$F244,0))</x:f>
      </x:c>
      <x:c r="K244" s="29" t="str">
        <x:f>IF($A244="","",IF($H244="Completed",$E244*$G244,0))</x:f>
      </x:c>
      <x:c r="L244" s="29" t="str">
        <x:f>IF($A244="","",J244-K244)</x:f>
      </x:c>
    </x:row>
    <x:row r="245">
      <x:c r="F245" s="26"/>
      <x:c r="G245" s="26"/>
      <x:c r="I245" s="28" t="str">
        <x:f>IF($A245="","",IF(ISNUMBER($B245),TEXT($B245,"yyyy-mm"),LEFT($B245,7)))</x:f>
      </x:c>
      <x:c r="J245" s="29" t="str">
        <x:f>IF($A245="","",IF($H245="Completed",$E245*$F245,0))</x:f>
      </x:c>
      <x:c r="K245" s="29" t="str">
        <x:f>IF($A245="","",IF($H245="Completed",$E245*$G245,0))</x:f>
      </x:c>
      <x:c r="L245" s="29" t="str">
        <x:f>IF($A245="","",J245-K245)</x:f>
      </x:c>
    </x:row>
    <x:row r="246">
      <x:c r="F246" s="26"/>
      <x:c r="G246" s="26"/>
      <x:c r="I246" s="28" t="str">
        <x:f>IF($A246="","",IF(ISNUMBER($B246),TEXT($B246,"yyyy-mm"),LEFT($B246,7)))</x:f>
      </x:c>
      <x:c r="J246" s="29" t="str">
        <x:f>IF($A246="","",IF($H246="Completed",$E246*$F246,0))</x:f>
      </x:c>
      <x:c r="K246" s="29" t="str">
        <x:f>IF($A246="","",IF($H246="Completed",$E246*$G246,0))</x:f>
      </x:c>
      <x:c r="L246" s="29" t="str">
        <x:f>IF($A246="","",J246-K246)</x:f>
      </x:c>
    </x:row>
    <x:row r="247">
      <x:c r="F247" s="26"/>
      <x:c r="G247" s="26"/>
      <x:c r="I247" s="28" t="str">
        <x:f>IF($A247="","",IF(ISNUMBER($B247),TEXT($B247,"yyyy-mm"),LEFT($B247,7)))</x:f>
      </x:c>
      <x:c r="J247" s="29" t="str">
        <x:f>IF($A247="","",IF($H247="Completed",$E247*$F247,0))</x:f>
      </x:c>
      <x:c r="K247" s="29" t="str">
        <x:f>IF($A247="","",IF($H247="Completed",$E247*$G247,0))</x:f>
      </x:c>
      <x:c r="L247" s="29" t="str">
        <x:f>IF($A247="","",J247-K247)</x:f>
      </x:c>
    </x:row>
    <x:row r="248">
      <x:c r="F248" s="26"/>
      <x:c r="G248" s="26"/>
      <x:c r="I248" s="28" t="str">
        <x:f>IF($A248="","",IF(ISNUMBER($B248),TEXT($B248,"yyyy-mm"),LEFT($B248,7)))</x:f>
      </x:c>
      <x:c r="J248" s="29" t="str">
        <x:f>IF($A248="","",IF($H248="Completed",$E248*$F248,0))</x:f>
      </x:c>
      <x:c r="K248" s="29" t="str">
        <x:f>IF($A248="","",IF($H248="Completed",$E248*$G248,0))</x:f>
      </x:c>
      <x:c r="L248" s="29" t="str">
        <x:f>IF($A248="","",J248-K248)</x:f>
      </x:c>
    </x:row>
    <x:row r="249">
      <x:c r="F249" s="26"/>
      <x:c r="G249" s="26"/>
      <x:c r="I249" s="28" t="str">
        <x:f>IF($A249="","",IF(ISNUMBER($B249),TEXT($B249,"yyyy-mm"),LEFT($B249,7)))</x:f>
      </x:c>
      <x:c r="J249" s="29" t="str">
        <x:f>IF($A249="","",IF($H249="Completed",$E249*$F249,0))</x:f>
      </x:c>
      <x:c r="K249" s="29" t="str">
        <x:f>IF($A249="","",IF($H249="Completed",$E249*$G249,0))</x:f>
      </x:c>
      <x:c r="L249" s="29" t="str">
        <x:f>IF($A249="","",J249-K249)</x:f>
      </x:c>
    </x:row>
    <x:row r="250">
      <x:c r="F250" s="26"/>
      <x:c r="G250" s="26"/>
      <x:c r="I250" s="28" t="str">
        <x:f>IF($A250="","",IF(ISNUMBER($B250),TEXT($B250,"yyyy-mm"),LEFT($B250,7)))</x:f>
      </x:c>
      <x:c r="J250" s="29" t="str">
        <x:f>IF($A250="","",IF($H250="Completed",$E250*$F250,0))</x:f>
      </x:c>
      <x:c r="K250" s="29" t="str">
        <x:f>IF($A250="","",IF($H250="Completed",$E250*$G250,0))</x:f>
      </x:c>
      <x:c r="L250" s="29" t="str">
        <x:f>IF($A250="","",J250-K250)</x:f>
      </x:c>
    </x:row>
    <x:row r="251">
      <x:c r="F251" s="26"/>
      <x:c r="G251" s="26"/>
      <x:c r="I251" s="28" t="str">
        <x:f>IF($A251="","",IF(ISNUMBER($B251),TEXT($B251,"yyyy-mm"),LEFT($B251,7)))</x:f>
      </x:c>
      <x:c r="J251" s="29" t="str">
        <x:f>IF($A251="","",IF($H251="Completed",$E251*$F251,0))</x:f>
      </x:c>
      <x:c r="K251" s="29" t="str">
        <x:f>IF($A251="","",IF($H251="Completed",$E251*$G251,0))</x:f>
      </x:c>
      <x:c r="L251" s="29" t="str">
        <x:f>IF($A251="","",J251-K251)</x:f>
      </x:c>
    </x:row>
    <x:row r="252">
      <x:c r="F252" s="26"/>
      <x:c r="G252" s="26"/>
      <x:c r="I252" s="28" t="str">
        <x:f>IF($A252="","",IF(ISNUMBER($B252),TEXT($B252,"yyyy-mm"),LEFT($B252,7)))</x:f>
      </x:c>
      <x:c r="J252" s="29" t="str">
        <x:f>IF($A252="","",IF($H252="Completed",$E252*$F252,0))</x:f>
      </x:c>
      <x:c r="K252" s="29" t="str">
        <x:f>IF($A252="","",IF($H252="Completed",$E252*$G252,0))</x:f>
      </x:c>
      <x:c r="L252" s="29" t="str">
        <x:f>IF($A252="","",J252-K252)</x:f>
      </x:c>
    </x:row>
    <x:row r="253">
      <x:c r="F253" s="26"/>
      <x:c r="G253" s="26"/>
      <x:c r="I253" s="28" t="str">
        <x:f>IF($A253="","",IF(ISNUMBER($B253),TEXT($B253,"yyyy-mm"),LEFT($B253,7)))</x:f>
      </x:c>
      <x:c r="J253" s="29" t="str">
        <x:f>IF($A253="","",IF($H253="Completed",$E253*$F253,0))</x:f>
      </x:c>
      <x:c r="K253" s="29" t="str">
        <x:f>IF($A253="","",IF($H253="Completed",$E253*$G253,0))</x:f>
      </x:c>
      <x:c r="L253" s="29" t="str">
        <x:f>IF($A253="","",J253-K253)</x:f>
      </x:c>
    </x:row>
    <x:row r="254">
      <x:c r="F254" s="26"/>
      <x:c r="G254" s="26"/>
      <x:c r="I254" s="28" t="str">
        <x:f>IF($A254="","",IF(ISNUMBER($B254),TEXT($B254,"yyyy-mm"),LEFT($B254,7)))</x:f>
      </x:c>
      <x:c r="J254" s="29" t="str">
        <x:f>IF($A254="","",IF($H254="Completed",$E254*$F254,0))</x:f>
      </x:c>
      <x:c r="K254" s="29" t="str">
        <x:f>IF($A254="","",IF($H254="Completed",$E254*$G254,0))</x:f>
      </x:c>
      <x:c r="L254" s="29" t="str">
        <x:f>IF($A254="","",J254-K254)</x:f>
      </x:c>
    </x:row>
    <x:row r="255">
      <x:c r="F255" s="26"/>
      <x:c r="G255" s="26"/>
      <x:c r="I255" s="28" t="str">
        <x:f>IF($A255="","",IF(ISNUMBER($B255),TEXT($B255,"yyyy-mm"),LEFT($B255,7)))</x:f>
      </x:c>
      <x:c r="J255" s="29" t="str">
        <x:f>IF($A255="","",IF($H255="Completed",$E255*$F255,0))</x:f>
      </x:c>
      <x:c r="K255" s="29" t="str">
        <x:f>IF($A255="","",IF($H255="Completed",$E255*$G255,0))</x:f>
      </x:c>
      <x:c r="L255" s="29" t="str">
        <x:f>IF($A255="","",J255-K255)</x:f>
      </x:c>
    </x:row>
    <x:row r="256">
      <x:c r="F256" s="26"/>
      <x:c r="G256" s="26"/>
      <x:c r="I256" s="28" t="str">
        <x:f>IF($A256="","",IF(ISNUMBER($B256),TEXT($B256,"yyyy-mm"),LEFT($B256,7)))</x:f>
      </x:c>
      <x:c r="J256" s="29" t="str">
        <x:f>IF($A256="","",IF($H256="Completed",$E256*$F256,0))</x:f>
      </x:c>
      <x:c r="K256" s="29" t="str">
        <x:f>IF($A256="","",IF($H256="Completed",$E256*$G256,0))</x:f>
      </x:c>
      <x:c r="L256" s="29" t="str">
        <x:f>IF($A256="","",J256-K256)</x:f>
      </x:c>
    </x:row>
    <x:row r="257">
      <x:c r="F257" s="26"/>
      <x:c r="G257" s="26"/>
      <x:c r="I257" s="28" t="str">
        <x:f>IF($A257="","",IF(ISNUMBER($B257),TEXT($B257,"yyyy-mm"),LEFT($B257,7)))</x:f>
      </x:c>
      <x:c r="J257" s="29" t="str">
        <x:f>IF($A257="","",IF($H257="Completed",$E257*$F257,0))</x:f>
      </x:c>
      <x:c r="K257" s="29" t="str">
        <x:f>IF($A257="","",IF($H257="Completed",$E257*$G257,0))</x:f>
      </x:c>
      <x:c r="L257" s="29" t="str">
        <x:f>IF($A257="","",J257-K257)</x:f>
      </x:c>
    </x:row>
    <x:row r="258">
      <x:c r="F258" s="26"/>
      <x:c r="G258" s="26"/>
      <x:c r="I258" s="28" t="str">
        <x:f>IF($A258="","",IF(ISNUMBER($B258),TEXT($B258,"yyyy-mm"),LEFT($B258,7)))</x:f>
      </x:c>
      <x:c r="J258" s="29" t="str">
        <x:f>IF($A258="","",IF($H258="Completed",$E258*$F258,0))</x:f>
      </x:c>
      <x:c r="K258" s="29" t="str">
        <x:f>IF($A258="","",IF($H258="Completed",$E258*$G258,0))</x:f>
      </x:c>
      <x:c r="L258" s="29" t="str">
        <x:f>IF($A258="","",J258-K258)</x:f>
      </x:c>
    </x:row>
    <x:row r="259">
      <x:c r="F259" s="26"/>
      <x:c r="G259" s="26"/>
      <x:c r="I259" s="28" t="str">
        <x:f>IF($A259="","",IF(ISNUMBER($B259),TEXT($B259,"yyyy-mm"),LEFT($B259,7)))</x:f>
      </x:c>
      <x:c r="J259" s="29" t="str">
        <x:f>IF($A259="","",IF($H259="Completed",$E259*$F259,0))</x:f>
      </x:c>
      <x:c r="K259" s="29" t="str">
        <x:f>IF($A259="","",IF($H259="Completed",$E259*$G259,0))</x:f>
      </x:c>
      <x:c r="L259" s="29" t="str">
        <x:f>IF($A259="","",J259-K259)</x:f>
      </x:c>
    </x:row>
    <x:row r="260">
      <x:c r="F260" s="26"/>
      <x:c r="G260" s="26"/>
      <x:c r="I260" s="28" t="str">
        <x:f>IF($A260="","",IF(ISNUMBER($B260),TEXT($B260,"yyyy-mm"),LEFT($B260,7)))</x:f>
      </x:c>
      <x:c r="J260" s="29" t="str">
        <x:f>IF($A260="","",IF($H260="Completed",$E260*$F260,0))</x:f>
      </x:c>
      <x:c r="K260" s="29" t="str">
        <x:f>IF($A260="","",IF($H260="Completed",$E260*$G260,0))</x:f>
      </x:c>
      <x:c r="L260" s="29" t="str">
        <x:f>IF($A260="","",J260-K260)</x:f>
      </x:c>
    </x:row>
    <x:row r="261">
      <x:c r="F261" s="26"/>
      <x:c r="G261" s="26"/>
      <x:c r="I261" s="28" t="str">
        <x:f>IF($A261="","",IF(ISNUMBER($B261),TEXT($B261,"yyyy-mm"),LEFT($B261,7)))</x:f>
      </x:c>
      <x:c r="J261" s="29" t="str">
        <x:f>IF($A261="","",IF($H261="Completed",$E261*$F261,0))</x:f>
      </x:c>
      <x:c r="K261" s="29" t="str">
        <x:f>IF($A261="","",IF($H261="Completed",$E261*$G261,0))</x:f>
      </x:c>
      <x:c r="L261" s="29" t="str">
        <x:f>IF($A261="","",J261-K261)</x:f>
      </x:c>
    </x:row>
    <x:row r="262">
      <x:c r="F262" s="26"/>
      <x:c r="G262" s="26"/>
      <x:c r="I262" s="28" t="str">
        <x:f>IF($A262="","",IF(ISNUMBER($B262),TEXT($B262,"yyyy-mm"),LEFT($B262,7)))</x:f>
      </x:c>
      <x:c r="J262" s="29" t="str">
        <x:f>IF($A262="","",IF($H262="Completed",$E262*$F262,0))</x:f>
      </x:c>
      <x:c r="K262" s="29" t="str">
        <x:f>IF($A262="","",IF($H262="Completed",$E262*$G262,0))</x:f>
      </x:c>
      <x:c r="L262" s="29" t="str">
        <x:f>IF($A262="","",J262-K262)</x:f>
      </x:c>
    </x:row>
    <x:row r="263">
      <x:c r="F263" s="26"/>
      <x:c r="G263" s="26"/>
      <x:c r="I263" s="28" t="str">
        <x:f>IF($A263="","",IF(ISNUMBER($B263),TEXT($B263,"yyyy-mm"),LEFT($B263,7)))</x:f>
      </x:c>
      <x:c r="J263" s="29" t="str">
        <x:f>IF($A263="","",IF($H263="Completed",$E263*$F263,0))</x:f>
      </x:c>
      <x:c r="K263" s="29" t="str">
        <x:f>IF($A263="","",IF($H263="Completed",$E263*$G263,0))</x:f>
      </x:c>
      <x:c r="L263" s="29" t="str">
        <x:f>IF($A263="","",J263-K263)</x:f>
      </x:c>
    </x:row>
    <x:row r="264">
      <x:c r="F264" s="26"/>
      <x:c r="G264" s="26"/>
      <x:c r="I264" s="28" t="str">
        <x:f>IF($A264="","",IF(ISNUMBER($B264),TEXT($B264,"yyyy-mm"),LEFT($B264,7)))</x:f>
      </x:c>
      <x:c r="J264" s="29" t="str">
        <x:f>IF($A264="","",IF($H264="Completed",$E264*$F264,0))</x:f>
      </x:c>
      <x:c r="K264" s="29" t="str">
        <x:f>IF($A264="","",IF($H264="Completed",$E264*$G264,0))</x:f>
      </x:c>
      <x:c r="L264" s="29" t="str">
        <x:f>IF($A264="","",J264-K264)</x:f>
      </x:c>
    </x:row>
    <x:row r="265">
      <x:c r="F265" s="26"/>
      <x:c r="G265" s="26"/>
      <x:c r="I265" s="28" t="str">
        <x:f>IF($A265="","",IF(ISNUMBER($B265),TEXT($B265,"yyyy-mm"),LEFT($B265,7)))</x:f>
      </x:c>
      <x:c r="J265" s="29" t="str">
        <x:f>IF($A265="","",IF($H265="Completed",$E265*$F265,0))</x:f>
      </x:c>
      <x:c r="K265" s="29" t="str">
        <x:f>IF($A265="","",IF($H265="Completed",$E265*$G265,0))</x:f>
      </x:c>
      <x:c r="L265" s="29" t="str">
        <x:f>IF($A265="","",J265-K265)</x:f>
      </x:c>
    </x:row>
    <x:row r="266">
      <x:c r="F266" s="26"/>
      <x:c r="G266" s="26"/>
      <x:c r="I266" s="28" t="str">
        <x:f>IF($A266="","",IF(ISNUMBER($B266),TEXT($B266,"yyyy-mm"),LEFT($B266,7)))</x:f>
      </x:c>
      <x:c r="J266" s="29" t="str">
        <x:f>IF($A266="","",IF($H266="Completed",$E266*$F266,0))</x:f>
      </x:c>
      <x:c r="K266" s="29" t="str">
        <x:f>IF($A266="","",IF($H266="Completed",$E266*$G266,0))</x:f>
      </x:c>
      <x:c r="L266" s="29" t="str">
        <x:f>IF($A266="","",J266-K266)</x:f>
      </x:c>
    </x:row>
    <x:row r="267">
      <x:c r="F267" s="26"/>
      <x:c r="G267" s="26"/>
      <x:c r="I267" s="28" t="str">
        <x:f>IF($A267="","",IF(ISNUMBER($B267),TEXT($B267,"yyyy-mm"),LEFT($B267,7)))</x:f>
      </x:c>
      <x:c r="J267" s="29" t="str">
        <x:f>IF($A267="","",IF($H267="Completed",$E267*$F267,0))</x:f>
      </x:c>
      <x:c r="K267" s="29" t="str">
        <x:f>IF($A267="","",IF($H267="Completed",$E267*$G267,0))</x:f>
      </x:c>
      <x:c r="L267" s="29" t="str">
        <x:f>IF($A267="","",J267-K267)</x:f>
      </x:c>
    </x:row>
    <x:row r="268">
      <x:c r="F268" s="26"/>
      <x:c r="G268" s="26"/>
      <x:c r="I268" s="28" t="str">
        <x:f>IF($A268="","",IF(ISNUMBER($B268),TEXT($B268,"yyyy-mm"),LEFT($B268,7)))</x:f>
      </x:c>
      <x:c r="J268" s="29" t="str">
        <x:f>IF($A268="","",IF($H268="Completed",$E268*$F268,0))</x:f>
      </x:c>
      <x:c r="K268" s="29" t="str">
        <x:f>IF($A268="","",IF($H268="Completed",$E268*$G268,0))</x:f>
      </x:c>
      <x:c r="L268" s="29" t="str">
        <x:f>IF($A268="","",J268-K268)</x:f>
      </x:c>
    </x:row>
    <x:row r="269">
      <x:c r="F269" s="26"/>
      <x:c r="G269" s="26"/>
      <x:c r="I269" s="28" t="str">
        <x:f>IF($A269="","",IF(ISNUMBER($B269),TEXT($B269,"yyyy-mm"),LEFT($B269,7)))</x:f>
      </x:c>
      <x:c r="J269" s="29" t="str">
        <x:f>IF($A269="","",IF($H269="Completed",$E269*$F269,0))</x:f>
      </x:c>
      <x:c r="K269" s="29" t="str">
        <x:f>IF($A269="","",IF($H269="Completed",$E269*$G269,0))</x:f>
      </x:c>
      <x:c r="L269" s="29" t="str">
        <x:f>IF($A269="","",J269-K269)</x:f>
      </x:c>
    </x:row>
    <x:row r="270">
      <x:c r="F270" s="26"/>
      <x:c r="G270" s="26"/>
      <x:c r="I270" s="28" t="str">
        <x:f>IF($A270="","",IF(ISNUMBER($B270),TEXT($B270,"yyyy-mm"),LEFT($B270,7)))</x:f>
      </x:c>
      <x:c r="J270" s="29" t="str">
        <x:f>IF($A270="","",IF($H270="Completed",$E270*$F270,0))</x:f>
      </x:c>
      <x:c r="K270" s="29" t="str">
        <x:f>IF($A270="","",IF($H270="Completed",$E270*$G270,0))</x:f>
      </x:c>
      <x:c r="L270" s="29" t="str">
        <x:f>IF($A270="","",J270-K270)</x:f>
      </x:c>
    </x:row>
    <x:row r="271">
      <x:c r="F271" s="26"/>
      <x:c r="G271" s="26"/>
      <x:c r="I271" s="28" t="str">
        <x:f>IF($A271="","",IF(ISNUMBER($B271),TEXT($B271,"yyyy-mm"),LEFT($B271,7)))</x:f>
      </x:c>
      <x:c r="J271" s="29" t="str">
        <x:f>IF($A271="","",IF($H271="Completed",$E271*$F271,0))</x:f>
      </x:c>
      <x:c r="K271" s="29" t="str">
        <x:f>IF($A271="","",IF($H271="Completed",$E271*$G271,0))</x:f>
      </x:c>
      <x:c r="L271" s="29" t="str">
        <x:f>IF($A271="","",J271-K271)</x:f>
      </x:c>
    </x:row>
    <x:row r="272">
      <x:c r="F272" s="26"/>
      <x:c r="G272" s="26"/>
      <x:c r="I272" s="28" t="str">
        <x:f>IF($A272="","",IF(ISNUMBER($B272),TEXT($B272,"yyyy-mm"),LEFT($B272,7)))</x:f>
      </x:c>
      <x:c r="J272" s="29" t="str">
        <x:f>IF($A272="","",IF($H272="Completed",$E272*$F272,0))</x:f>
      </x:c>
      <x:c r="K272" s="29" t="str">
        <x:f>IF($A272="","",IF($H272="Completed",$E272*$G272,0))</x:f>
      </x:c>
      <x:c r="L272" s="29" t="str">
        <x:f>IF($A272="","",J272-K272)</x:f>
      </x:c>
    </x:row>
    <x:row r="273">
      <x:c r="F273" s="26"/>
      <x:c r="G273" s="26"/>
      <x:c r="I273" s="28" t="str">
        <x:f>IF($A273="","",IF(ISNUMBER($B273),TEXT($B273,"yyyy-mm"),LEFT($B273,7)))</x:f>
      </x:c>
      <x:c r="J273" s="29" t="str">
        <x:f>IF($A273="","",IF($H273="Completed",$E273*$F273,0))</x:f>
      </x:c>
      <x:c r="K273" s="29" t="str">
        <x:f>IF($A273="","",IF($H273="Completed",$E273*$G273,0))</x:f>
      </x:c>
      <x:c r="L273" s="29" t="str">
        <x:f>IF($A273="","",J273-K273)</x:f>
      </x:c>
    </x:row>
    <x:row r="274">
      <x:c r="F274" s="26"/>
      <x:c r="G274" s="26"/>
      <x:c r="I274" s="28" t="str">
        <x:f>IF($A274="","",IF(ISNUMBER($B274),TEXT($B274,"yyyy-mm"),LEFT($B274,7)))</x:f>
      </x:c>
      <x:c r="J274" s="29" t="str">
        <x:f>IF($A274="","",IF($H274="Completed",$E274*$F274,0))</x:f>
      </x:c>
      <x:c r="K274" s="29" t="str">
        <x:f>IF($A274="","",IF($H274="Completed",$E274*$G274,0))</x:f>
      </x:c>
      <x:c r="L274" s="29" t="str">
        <x:f>IF($A274="","",J274-K274)</x:f>
      </x:c>
    </x:row>
    <x:row r="275">
      <x:c r="F275" s="26"/>
      <x:c r="G275" s="26"/>
      <x:c r="I275" s="28" t="str">
        <x:f>IF($A275="","",IF(ISNUMBER($B275),TEXT($B275,"yyyy-mm"),LEFT($B275,7)))</x:f>
      </x:c>
      <x:c r="J275" s="29" t="str">
        <x:f>IF($A275="","",IF($H275="Completed",$E275*$F275,0))</x:f>
      </x:c>
      <x:c r="K275" s="29" t="str">
        <x:f>IF($A275="","",IF($H275="Completed",$E275*$G275,0))</x:f>
      </x:c>
      <x:c r="L275" s="29" t="str">
        <x:f>IF($A275="","",J275-K275)</x:f>
      </x:c>
    </x:row>
    <x:row r="276">
      <x:c r="F276" s="26"/>
      <x:c r="G276" s="26"/>
      <x:c r="I276" s="28" t="str">
        <x:f>IF($A276="","",IF(ISNUMBER($B276),TEXT($B276,"yyyy-mm"),LEFT($B276,7)))</x:f>
      </x:c>
      <x:c r="J276" s="29" t="str">
        <x:f>IF($A276="","",IF($H276="Completed",$E276*$F276,0))</x:f>
      </x:c>
      <x:c r="K276" s="29" t="str">
        <x:f>IF($A276="","",IF($H276="Completed",$E276*$G276,0))</x:f>
      </x:c>
      <x:c r="L276" s="29" t="str">
        <x:f>IF($A276="","",J276-K276)</x:f>
      </x:c>
    </x:row>
    <x:row r="277">
      <x:c r="F277" s="26"/>
      <x:c r="G277" s="26"/>
      <x:c r="I277" s="28" t="str">
        <x:f>IF($A277="","",IF(ISNUMBER($B277),TEXT($B277,"yyyy-mm"),LEFT($B277,7)))</x:f>
      </x:c>
      <x:c r="J277" s="29" t="str">
        <x:f>IF($A277="","",IF($H277="Completed",$E277*$F277,0))</x:f>
      </x:c>
      <x:c r="K277" s="29" t="str">
        <x:f>IF($A277="","",IF($H277="Completed",$E277*$G277,0))</x:f>
      </x:c>
      <x:c r="L277" s="29" t="str">
        <x:f>IF($A277="","",J277-K277)</x:f>
      </x:c>
    </x:row>
    <x:row r="278">
      <x:c r="F278" s="26"/>
      <x:c r="G278" s="26"/>
      <x:c r="I278" s="28" t="str">
        <x:f>IF($A278="","",IF(ISNUMBER($B278),TEXT($B278,"yyyy-mm"),LEFT($B278,7)))</x:f>
      </x:c>
      <x:c r="J278" s="29" t="str">
        <x:f>IF($A278="","",IF($H278="Completed",$E278*$F278,0))</x:f>
      </x:c>
      <x:c r="K278" s="29" t="str">
        <x:f>IF($A278="","",IF($H278="Completed",$E278*$G278,0))</x:f>
      </x:c>
      <x:c r="L278" s="29" t="str">
        <x:f>IF($A278="","",J278-K278)</x:f>
      </x:c>
    </x:row>
    <x:row r="279">
      <x:c r="F279" s="26"/>
      <x:c r="G279" s="26"/>
      <x:c r="I279" s="28" t="str">
        <x:f>IF($A279="","",IF(ISNUMBER($B279),TEXT($B279,"yyyy-mm"),LEFT($B279,7)))</x:f>
      </x:c>
      <x:c r="J279" s="29" t="str">
        <x:f>IF($A279="","",IF($H279="Completed",$E279*$F279,0))</x:f>
      </x:c>
      <x:c r="K279" s="29" t="str">
        <x:f>IF($A279="","",IF($H279="Completed",$E279*$G279,0))</x:f>
      </x:c>
      <x:c r="L279" s="29" t="str">
        <x:f>IF($A279="","",J279-K279)</x:f>
      </x:c>
    </x:row>
    <x:row r="280">
      <x:c r="F280" s="26"/>
      <x:c r="G280" s="26"/>
      <x:c r="I280" s="28" t="str">
        <x:f>IF($A280="","",IF(ISNUMBER($B280),TEXT($B280,"yyyy-mm"),LEFT($B280,7)))</x:f>
      </x:c>
      <x:c r="J280" s="29" t="str">
        <x:f>IF($A280="","",IF($H280="Completed",$E280*$F280,0))</x:f>
      </x:c>
      <x:c r="K280" s="29" t="str">
        <x:f>IF($A280="","",IF($H280="Completed",$E280*$G280,0))</x:f>
      </x:c>
      <x:c r="L280" s="29" t="str">
        <x:f>IF($A280="","",J280-K280)</x:f>
      </x:c>
    </x:row>
    <x:row r="281">
      <x:c r="F281" s="26"/>
      <x:c r="G281" s="26"/>
      <x:c r="I281" s="28" t="str">
        <x:f>IF($A281="","",IF(ISNUMBER($B281),TEXT($B281,"yyyy-mm"),LEFT($B281,7)))</x:f>
      </x:c>
      <x:c r="J281" s="29" t="str">
        <x:f>IF($A281="","",IF($H281="Completed",$E281*$F281,0))</x:f>
      </x:c>
      <x:c r="K281" s="29" t="str">
        <x:f>IF($A281="","",IF($H281="Completed",$E281*$G281,0))</x:f>
      </x:c>
      <x:c r="L281" s="29" t="str">
        <x:f>IF($A281="","",J281-K281)</x:f>
      </x:c>
    </x:row>
    <x:row r="282">
      <x:c r="F282" s="26"/>
      <x:c r="G282" s="26"/>
      <x:c r="I282" s="28" t="str">
        <x:f>IF($A282="","",IF(ISNUMBER($B282),TEXT($B282,"yyyy-mm"),LEFT($B282,7)))</x:f>
      </x:c>
      <x:c r="J282" s="29" t="str">
        <x:f>IF($A282="","",IF($H282="Completed",$E282*$F282,0))</x:f>
      </x:c>
      <x:c r="K282" s="29" t="str">
        <x:f>IF($A282="","",IF($H282="Completed",$E282*$G282,0))</x:f>
      </x:c>
      <x:c r="L282" s="29" t="str">
        <x:f>IF($A282="","",J282-K282)</x:f>
      </x:c>
    </x:row>
    <x:row r="283">
      <x:c r="F283" s="26"/>
      <x:c r="G283" s="26"/>
      <x:c r="I283" s="28" t="str">
        <x:f>IF($A283="","",IF(ISNUMBER($B283),TEXT($B283,"yyyy-mm"),LEFT($B283,7)))</x:f>
      </x:c>
      <x:c r="J283" s="29" t="str">
        <x:f>IF($A283="","",IF($H283="Completed",$E283*$F283,0))</x:f>
      </x:c>
      <x:c r="K283" s="29" t="str">
        <x:f>IF($A283="","",IF($H283="Completed",$E283*$G283,0))</x:f>
      </x:c>
      <x:c r="L283" s="29" t="str">
        <x:f>IF($A283="","",J283-K283)</x:f>
      </x:c>
    </x:row>
    <x:row r="284">
      <x:c r="F284" s="26"/>
      <x:c r="G284" s="26"/>
      <x:c r="I284" s="28" t="str">
        <x:f>IF($A284="","",IF(ISNUMBER($B284),TEXT($B284,"yyyy-mm"),LEFT($B284,7)))</x:f>
      </x:c>
      <x:c r="J284" s="29" t="str">
        <x:f>IF($A284="","",IF($H284="Completed",$E284*$F284,0))</x:f>
      </x:c>
      <x:c r="K284" s="29" t="str">
        <x:f>IF($A284="","",IF($H284="Completed",$E284*$G284,0))</x:f>
      </x:c>
      <x:c r="L284" s="29" t="str">
        <x:f>IF($A284="","",J284-K284)</x:f>
      </x:c>
    </x:row>
    <x:row r="285">
      <x:c r="F285" s="26"/>
      <x:c r="G285" s="26"/>
      <x:c r="I285" s="28" t="str">
        <x:f>IF($A285="","",IF(ISNUMBER($B285),TEXT($B285,"yyyy-mm"),LEFT($B285,7)))</x:f>
      </x:c>
      <x:c r="J285" s="29" t="str">
        <x:f>IF($A285="","",IF($H285="Completed",$E285*$F285,0))</x:f>
      </x:c>
      <x:c r="K285" s="29" t="str">
        <x:f>IF($A285="","",IF($H285="Completed",$E285*$G285,0))</x:f>
      </x:c>
      <x:c r="L285" s="29" t="str">
        <x:f>IF($A285="","",J285-K285)</x:f>
      </x:c>
    </x:row>
    <x:row r="286">
      <x:c r="F286" s="26"/>
      <x:c r="G286" s="26"/>
      <x:c r="I286" s="28" t="str">
        <x:f>IF($A286="","",IF(ISNUMBER($B286),TEXT($B286,"yyyy-mm"),LEFT($B286,7)))</x:f>
      </x:c>
      <x:c r="J286" s="29" t="str">
        <x:f>IF($A286="","",IF($H286="Completed",$E286*$F286,0))</x:f>
      </x:c>
      <x:c r="K286" s="29" t="str">
        <x:f>IF($A286="","",IF($H286="Completed",$E286*$G286,0))</x:f>
      </x:c>
      <x:c r="L286" s="29" t="str">
        <x:f>IF($A286="","",J286-K286)</x:f>
      </x:c>
    </x:row>
    <x:row r="287">
      <x:c r="F287" s="26"/>
      <x:c r="G287" s="26"/>
      <x:c r="I287" s="28" t="str">
        <x:f>IF($A287="","",IF(ISNUMBER($B287),TEXT($B287,"yyyy-mm"),LEFT($B287,7)))</x:f>
      </x:c>
      <x:c r="J287" s="29" t="str">
        <x:f>IF($A287="","",IF($H287="Completed",$E287*$F287,0))</x:f>
      </x:c>
      <x:c r="K287" s="29" t="str">
        <x:f>IF($A287="","",IF($H287="Completed",$E287*$G287,0))</x:f>
      </x:c>
      <x:c r="L287" s="29" t="str">
        <x:f>IF($A287="","",J287-K287)</x:f>
      </x:c>
    </x:row>
    <x:row r="288">
      <x:c r="F288" s="26"/>
      <x:c r="G288" s="26"/>
      <x:c r="I288" s="28" t="str">
        <x:f>IF($A288="","",IF(ISNUMBER($B288),TEXT($B288,"yyyy-mm"),LEFT($B288,7)))</x:f>
      </x:c>
      <x:c r="J288" s="29" t="str">
        <x:f>IF($A288="","",IF($H288="Completed",$E288*$F288,0))</x:f>
      </x:c>
      <x:c r="K288" s="29" t="str">
        <x:f>IF($A288="","",IF($H288="Completed",$E288*$G288,0))</x:f>
      </x:c>
      <x:c r="L288" s="29" t="str">
        <x:f>IF($A288="","",J288-K288)</x:f>
      </x:c>
    </x:row>
    <x:row r="289">
      <x:c r="F289" s="26"/>
      <x:c r="G289" s="26"/>
      <x:c r="I289" s="28" t="str">
        <x:f>IF($A289="","",IF(ISNUMBER($B289),TEXT($B289,"yyyy-mm"),LEFT($B289,7)))</x:f>
      </x:c>
      <x:c r="J289" s="29" t="str">
        <x:f>IF($A289="","",IF($H289="Completed",$E289*$F289,0))</x:f>
      </x:c>
      <x:c r="K289" s="29" t="str">
        <x:f>IF($A289="","",IF($H289="Completed",$E289*$G289,0))</x:f>
      </x:c>
      <x:c r="L289" s="29" t="str">
        <x:f>IF($A289="","",J289-K289)</x:f>
      </x:c>
    </x:row>
    <x:row r="290">
      <x:c r="F290" s="26"/>
      <x:c r="G290" s="26"/>
      <x:c r="I290" s="28" t="str">
        <x:f>IF($A290="","",IF(ISNUMBER($B290),TEXT($B290,"yyyy-mm"),LEFT($B290,7)))</x:f>
      </x:c>
      <x:c r="J290" s="29" t="str">
        <x:f>IF($A290="","",IF($H290="Completed",$E290*$F290,0))</x:f>
      </x:c>
      <x:c r="K290" s="29" t="str">
        <x:f>IF($A290="","",IF($H290="Completed",$E290*$G290,0))</x:f>
      </x:c>
      <x:c r="L290" s="29" t="str">
        <x:f>IF($A290="","",J290-K290)</x:f>
      </x:c>
    </x:row>
    <x:row r="291">
      <x:c r="F291" s="26"/>
      <x:c r="G291" s="26"/>
      <x:c r="I291" s="28" t="str">
        <x:f>IF($A291="","",IF(ISNUMBER($B291),TEXT($B291,"yyyy-mm"),LEFT($B291,7)))</x:f>
      </x:c>
      <x:c r="J291" s="29" t="str">
        <x:f>IF($A291="","",IF($H291="Completed",$E291*$F291,0))</x:f>
      </x:c>
      <x:c r="K291" s="29" t="str">
        <x:f>IF($A291="","",IF($H291="Completed",$E291*$G291,0))</x:f>
      </x:c>
      <x:c r="L291" s="29" t="str">
        <x:f>IF($A291="","",J291-K291)</x:f>
      </x:c>
    </x:row>
    <x:row r="292">
      <x:c r="F292" s="26"/>
      <x:c r="G292" s="26"/>
      <x:c r="I292" s="28" t="str">
        <x:f>IF($A292="","",IF(ISNUMBER($B292),TEXT($B292,"yyyy-mm"),LEFT($B292,7)))</x:f>
      </x:c>
      <x:c r="J292" s="29" t="str">
        <x:f>IF($A292="","",IF($H292="Completed",$E292*$F292,0))</x:f>
      </x:c>
      <x:c r="K292" s="29" t="str">
        <x:f>IF($A292="","",IF($H292="Completed",$E292*$G292,0))</x:f>
      </x:c>
      <x:c r="L292" s="29" t="str">
        <x:f>IF($A292="","",J292-K292)</x:f>
      </x:c>
    </x:row>
    <x:row r="293">
      <x:c r="F293" s="26"/>
      <x:c r="G293" s="26"/>
      <x:c r="I293" s="28" t="str">
        <x:f>IF($A293="","",IF(ISNUMBER($B293),TEXT($B293,"yyyy-mm"),LEFT($B293,7)))</x:f>
      </x:c>
      <x:c r="J293" s="29" t="str">
        <x:f>IF($A293="","",IF($H293="Completed",$E293*$F293,0))</x:f>
      </x:c>
      <x:c r="K293" s="29" t="str">
        <x:f>IF($A293="","",IF($H293="Completed",$E293*$G293,0))</x:f>
      </x:c>
      <x:c r="L293" s="29" t="str">
        <x:f>IF($A293="","",J293-K293)</x:f>
      </x:c>
    </x:row>
    <x:row r="294">
      <x:c r="F294" s="26"/>
      <x:c r="G294" s="26"/>
      <x:c r="I294" s="28" t="str">
        <x:f>IF($A294="","",IF(ISNUMBER($B294),TEXT($B294,"yyyy-mm"),LEFT($B294,7)))</x:f>
      </x:c>
      <x:c r="J294" s="29" t="str">
        <x:f>IF($A294="","",IF($H294="Completed",$E294*$F294,0))</x:f>
      </x:c>
      <x:c r="K294" s="29" t="str">
        <x:f>IF($A294="","",IF($H294="Completed",$E294*$G294,0))</x:f>
      </x:c>
      <x:c r="L294" s="29" t="str">
        <x:f>IF($A294="","",J294-K294)</x:f>
      </x:c>
    </x:row>
    <x:row r="295">
      <x:c r="F295" s="26"/>
      <x:c r="G295" s="26"/>
      <x:c r="I295" s="28" t="str">
        <x:f>IF($A295="","",IF(ISNUMBER($B295),TEXT($B295,"yyyy-mm"),LEFT($B295,7)))</x:f>
      </x:c>
      <x:c r="J295" s="29" t="str">
        <x:f>IF($A295="","",IF($H295="Completed",$E295*$F295,0))</x:f>
      </x:c>
      <x:c r="K295" s="29" t="str">
        <x:f>IF($A295="","",IF($H295="Completed",$E295*$G295,0))</x:f>
      </x:c>
      <x:c r="L295" s="29" t="str">
        <x:f>IF($A295="","",J295-K295)</x:f>
      </x:c>
    </x:row>
    <x:row r="296">
      <x:c r="F296" s="26"/>
      <x:c r="G296" s="26"/>
      <x:c r="I296" s="28" t="str">
        <x:f>IF($A296="","",IF(ISNUMBER($B296),TEXT($B296,"yyyy-mm"),LEFT($B296,7)))</x:f>
      </x:c>
      <x:c r="J296" s="29" t="str">
        <x:f>IF($A296="","",IF($H296="Completed",$E296*$F296,0))</x:f>
      </x:c>
      <x:c r="K296" s="29" t="str">
        <x:f>IF($A296="","",IF($H296="Completed",$E296*$G296,0))</x:f>
      </x:c>
      <x:c r="L296" s="29" t="str">
        <x:f>IF($A296="","",J296-K296)</x:f>
      </x:c>
    </x:row>
    <x:row r="297">
      <x:c r="F297" s="26"/>
      <x:c r="G297" s="26"/>
      <x:c r="I297" s="28" t="str">
        <x:f>IF($A297="","",IF(ISNUMBER($B297),TEXT($B297,"yyyy-mm"),LEFT($B297,7)))</x:f>
      </x:c>
      <x:c r="J297" s="29" t="str">
        <x:f>IF($A297="","",IF($H297="Completed",$E297*$F297,0))</x:f>
      </x:c>
      <x:c r="K297" s="29" t="str">
        <x:f>IF($A297="","",IF($H297="Completed",$E297*$G297,0))</x:f>
      </x:c>
      <x:c r="L297" s="29" t="str">
        <x:f>IF($A297="","",J297-K297)</x:f>
      </x:c>
    </x:row>
    <x:row r="298">
      <x:c r="F298" s="26"/>
      <x:c r="G298" s="26"/>
      <x:c r="I298" s="28" t="str">
        <x:f>IF($A298="","",IF(ISNUMBER($B298),TEXT($B298,"yyyy-mm"),LEFT($B298,7)))</x:f>
      </x:c>
      <x:c r="J298" s="29" t="str">
        <x:f>IF($A298="","",IF($H298="Completed",$E298*$F298,0))</x:f>
      </x:c>
      <x:c r="K298" s="29" t="str">
        <x:f>IF($A298="","",IF($H298="Completed",$E298*$G298,0))</x:f>
      </x:c>
      <x:c r="L298" s="29" t="str">
        <x:f>IF($A298="","",J298-K298)</x:f>
      </x:c>
    </x:row>
    <x:row r="299">
      <x:c r="F299" s="26"/>
      <x:c r="G299" s="26"/>
      <x:c r="I299" s="28" t="str">
        <x:f>IF($A299="","",IF(ISNUMBER($B299),TEXT($B299,"yyyy-mm"),LEFT($B299,7)))</x:f>
      </x:c>
      <x:c r="J299" s="29" t="str">
        <x:f>IF($A299="","",IF($H299="Completed",$E299*$F299,0))</x:f>
      </x:c>
      <x:c r="K299" s="29" t="str">
        <x:f>IF($A299="","",IF($H299="Completed",$E299*$G299,0))</x:f>
      </x:c>
      <x:c r="L299" s="29" t="str">
        <x:f>IF($A299="","",J299-K299)</x:f>
      </x:c>
    </x:row>
    <x:row r="300">
      <x:c r="F300" s="26"/>
      <x:c r="G300" s="26"/>
      <x:c r="I300" s="28" t="str">
        <x:f>IF($A300="","",IF(ISNUMBER($B300),TEXT($B300,"yyyy-mm"),LEFT($B300,7)))</x:f>
      </x:c>
      <x:c r="J300" s="29" t="str">
        <x:f>IF($A300="","",IF($H300="Completed",$E300*$F300,0))</x:f>
      </x:c>
      <x:c r="K300" s="29" t="str">
        <x:f>IF($A300="","",IF($H300="Completed",$E300*$G300,0))</x:f>
      </x:c>
      <x:c r="L300" s="29" t="str">
        <x:f>IF($A300="","",J300-K300)</x:f>
      </x:c>
    </x:row>
    <x:row r="301">
      <x:c r="F301" s="26"/>
      <x:c r="G301" s="26"/>
      <x:c r="I301" s="28" t="str">
        <x:f>IF($A301="","",IF(ISNUMBER($B301),TEXT($B301,"yyyy-mm"),LEFT($B301,7)))</x:f>
      </x:c>
      <x:c r="J301" s="29" t="str">
        <x:f>IF($A301="","",IF($H301="Completed",$E301*$F301,0))</x:f>
      </x:c>
      <x:c r="K301" s="29" t="str">
        <x:f>IF($A301="","",IF($H301="Completed",$E301*$G301,0))</x:f>
      </x:c>
      <x:c r="L301" s="29" t="str">
        <x:f>IF($A301="","",J301-K301)</x:f>
      </x:c>
    </x:row>
    <x:row r="302">
      <x:c r="F302" s="26"/>
      <x:c r="G302" s="26"/>
      <x:c r="I302" s="28" t="str">
        <x:f>IF($A302="","",IF(ISNUMBER($B302),TEXT($B302,"yyyy-mm"),LEFT($B302,7)))</x:f>
      </x:c>
      <x:c r="J302" s="29" t="str">
        <x:f>IF($A302="","",IF($H302="Completed",$E302*$F302,0))</x:f>
      </x:c>
      <x:c r="K302" s="29" t="str">
        <x:f>IF($A302="","",IF($H302="Completed",$E302*$G302,0))</x:f>
      </x:c>
      <x:c r="L302" s="29" t="str">
        <x:f>IF($A302="","",J302-K302)</x:f>
      </x:c>
    </x:row>
    <x:row r="303">
      <x:c r="F303" s="26"/>
      <x:c r="G303" s="26"/>
      <x:c r="I303" s="28" t="str">
        <x:f>IF($A303="","",IF(ISNUMBER($B303),TEXT($B303,"yyyy-mm"),LEFT($B303,7)))</x:f>
      </x:c>
      <x:c r="J303" s="29" t="str">
        <x:f>IF($A303="","",IF($H303="Completed",$E303*$F303,0))</x:f>
      </x:c>
      <x:c r="K303" s="29" t="str">
        <x:f>IF($A303="","",IF($H303="Completed",$E303*$G303,0))</x:f>
      </x:c>
      <x:c r="L303" s="29" t="str">
        <x:f>IF($A303="","",J303-K303)</x:f>
      </x:c>
    </x:row>
    <x:row r="304">
      <x:c r="F304" s="26"/>
      <x:c r="G304" s="26"/>
      <x:c r="I304" s="28" t="str">
        <x:f>IF($A304="","",IF(ISNUMBER($B304),TEXT($B304,"yyyy-mm"),LEFT($B304,7)))</x:f>
      </x:c>
      <x:c r="J304" s="29" t="str">
        <x:f>IF($A304="","",IF($H304="Completed",$E304*$F304,0))</x:f>
      </x:c>
      <x:c r="K304" s="29" t="str">
        <x:f>IF($A304="","",IF($H304="Completed",$E304*$G304,0))</x:f>
      </x:c>
      <x:c r="L304" s="29" t="str">
        <x:f>IF($A304="","",J304-K304)</x:f>
      </x:c>
    </x:row>
    <x:row r="305">
      <x:c r="F305" s="26"/>
      <x:c r="G305" s="26"/>
      <x:c r="I305" s="28" t="str">
        <x:f>IF($A305="","",IF(ISNUMBER($B305),TEXT($B305,"yyyy-mm"),LEFT($B305,7)))</x:f>
      </x:c>
      <x:c r="J305" s="29" t="str">
        <x:f>IF($A305="","",IF($H305="Completed",$E305*$F305,0))</x:f>
      </x:c>
      <x:c r="K305" s="29" t="str">
        <x:f>IF($A305="","",IF($H305="Completed",$E305*$G305,0))</x:f>
      </x:c>
      <x:c r="L305" s="29" t="str">
        <x:f>IF($A305="","",J305-K305)</x:f>
      </x:c>
    </x:row>
    <x:row r="306">
      <x:c r="F306" s="26"/>
      <x:c r="G306" s="26"/>
      <x:c r="I306" s="28" t="str">
        <x:f>IF($A306="","",IF(ISNUMBER($B306),TEXT($B306,"yyyy-mm"),LEFT($B306,7)))</x:f>
      </x:c>
      <x:c r="J306" s="29" t="str">
        <x:f>IF($A306="","",IF($H306="Completed",$E306*$F306,0))</x:f>
      </x:c>
      <x:c r="K306" s="29" t="str">
        <x:f>IF($A306="","",IF($H306="Completed",$E306*$G306,0))</x:f>
      </x:c>
      <x:c r="L306" s="29" t="str">
        <x:f>IF($A306="","",J306-K306)</x:f>
      </x:c>
    </x:row>
    <x:row r="307">
      <x:c r="F307" s="26"/>
      <x:c r="G307" s="26"/>
      <x:c r="I307" s="28" t="str">
        <x:f>IF($A307="","",IF(ISNUMBER($B307),TEXT($B307,"yyyy-mm"),LEFT($B307,7)))</x:f>
      </x:c>
      <x:c r="J307" s="29" t="str">
        <x:f>IF($A307="","",IF($H307="Completed",$E307*$F307,0))</x:f>
      </x:c>
      <x:c r="K307" s="29" t="str">
        <x:f>IF($A307="","",IF($H307="Completed",$E307*$G307,0))</x:f>
      </x:c>
      <x:c r="L307" s="29" t="str">
        <x:f>IF($A307="","",J307-K307)</x:f>
      </x:c>
    </x:row>
    <x:row r="308">
      <x:c r="F308" s="26"/>
      <x:c r="G308" s="26"/>
      <x:c r="I308" s="28" t="str">
        <x:f>IF($A308="","",IF(ISNUMBER($B308),TEXT($B308,"yyyy-mm"),LEFT($B308,7)))</x:f>
      </x:c>
      <x:c r="J308" s="29" t="str">
        <x:f>IF($A308="","",IF($H308="Completed",$E308*$F308,0))</x:f>
      </x:c>
      <x:c r="K308" s="29" t="str">
        <x:f>IF($A308="","",IF($H308="Completed",$E308*$G308,0))</x:f>
      </x:c>
      <x:c r="L308" s="29" t="str">
        <x:f>IF($A308="","",J308-K308)</x:f>
      </x:c>
    </x:row>
    <x:row r="309">
      <x:c r="F309" s="26"/>
      <x:c r="G309" s="26"/>
      <x:c r="I309" s="28" t="str">
        <x:f>IF($A309="","",IF(ISNUMBER($B309),TEXT($B309,"yyyy-mm"),LEFT($B309,7)))</x:f>
      </x:c>
      <x:c r="J309" s="29" t="str">
        <x:f>IF($A309="","",IF($H309="Completed",$E309*$F309,0))</x:f>
      </x:c>
      <x:c r="K309" s="29" t="str">
        <x:f>IF($A309="","",IF($H309="Completed",$E309*$G309,0))</x:f>
      </x:c>
      <x:c r="L309" s="29" t="str">
        <x:f>IF($A309="","",J309-K309)</x:f>
      </x:c>
    </x:row>
    <x:row r="310">
      <x:c r="F310" s="26"/>
      <x:c r="G310" s="26"/>
      <x:c r="I310" s="28" t="str">
        <x:f>IF($A310="","",IF(ISNUMBER($B310),TEXT($B310,"yyyy-mm"),LEFT($B310,7)))</x:f>
      </x:c>
      <x:c r="J310" s="29" t="str">
        <x:f>IF($A310="","",IF($H310="Completed",$E310*$F310,0))</x:f>
      </x:c>
      <x:c r="K310" s="29" t="str">
        <x:f>IF($A310="","",IF($H310="Completed",$E310*$G310,0))</x:f>
      </x:c>
      <x:c r="L310" s="29" t="str">
        <x:f>IF($A310="","",J310-K310)</x:f>
      </x:c>
    </x:row>
    <x:row r="311">
      <x:c r="F311" s="26"/>
      <x:c r="G311" s="26"/>
      <x:c r="I311" s="28" t="str">
        <x:f>IF($A311="","",IF(ISNUMBER($B311),TEXT($B311,"yyyy-mm"),LEFT($B311,7)))</x:f>
      </x:c>
      <x:c r="J311" s="29" t="str">
        <x:f>IF($A311="","",IF($H311="Completed",$E311*$F311,0))</x:f>
      </x:c>
      <x:c r="K311" s="29" t="str">
        <x:f>IF($A311="","",IF($H311="Completed",$E311*$G311,0))</x:f>
      </x:c>
      <x:c r="L311" s="29" t="str">
        <x:f>IF($A311="","",J311-K311)</x:f>
      </x:c>
    </x:row>
    <x:row r="312">
      <x:c r="F312" s="26"/>
      <x:c r="G312" s="26"/>
      <x:c r="I312" s="28" t="str">
        <x:f>IF($A312="","",IF(ISNUMBER($B312),TEXT($B312,"yyyy-mm"),LEFT($B312,7)))</x:f>
      </x:c>
      <x:c r="J312" s="29" t="str">
        <x:f>IF($A312="","",IF($H312="Completed",$E312*$F312,0))</x:f>
      </x:c>
      <x:c r="K312" s="29" t="str">
        <x:f>IF($A312="","",IF($H312="Completed",$E312*$G312,0))</x:f>
      </x:c>
      <x:c r="L312" s="29" t="str">
        <x:f>IF($A312="","",J312-K312)</x:f>
      </x:c>
    </x:row>
    <x:row r="313">
      <x:c r="F313" s="26"/>
      <x:c r="G313" s="26"/>
      <x:c r="I313" s="28" t="str">
        <x:f>IF($A313="","",IF(ISNUMBER($B313),TEXT($B313,"yyyy-mm"),LEFT($B313,7)))</x:f>
      </x:c>
      <x:c r="J313" s="29" t="str">
        <x:f>IF($A313="","",IF($H313="Completed",$E313*$F313,0))</x:f>
      </x:c>
      <x:c r="K313" s="29" t="str">
        <x:f>IF($A313="","",IF($H313="Completed",$E313*$G313,0))</x:f>
      </x:c>
      <x:c r="L313" s="29" t="str">
        <x:f>IF($A313="","",J313-K313)</x:f>
      </x:c>
    </x:row>
    <x:row r="314">
      <x:c r="F314" s="26"/>
      <x:c r="G314" s="26"/>
      <x:c r="I314" s="28" t="str">
        <x:f>IF($A314="","",IF(ISNUMBER($B314),TEXT($B314,"yyyy-mm"),LEFT($B314,7)))</x:f>
      </x:c>
      <x:c r="J314" s="29" t="str">
        <x:f>IF($A314="","",IF($H314="Completed",$E314*$F314,0))</x:f>
      </x:c>
      <x:c r="K314" s="29" t="str">
        <x:f>IF($A314="","",IF($H314="Completed",$E314*$G314,0))</x:f>
      </x:c>
      <x:c r="L314" s="29" t="str">
        <x:f>IF($A314="","",J314-K314)</x:f>
      </x:c>
    </x:row>
    <x:row r="315">
      <x:c r="F315" s="26"/>
      <x:c r="G315" s="26"/>
      <x:c r="I315" s="28" t="str">
        <x:f>IF($A315="","",IF(ISNUMBER($B315),TEXT($B315,"yyyy-mm"),LEFT($B315,7)))</x:f>
      </x:c>
      <x:c r="J315" s="29" t="str">
        <x:f>IF($A315="","",IF($H315="Completed",$E315*$F315,0))</x:f>
      </x:c>
      <x:c r="K315" s="29" t="str">
        <x:f>IF($A315="","",IF($H315="Completed",$E315*$G315,0))</x:f>
      </x:c>
      <x:c r="L315" s="29" t="str">
        <x:f>IF($A315="","",J315-K315)</x:f>
      </x:c>
    </x:row>
    <x:row r="316">
      <x:c r="F316" s="26"/>
      <x:c r="G316" s="26"/>
      <x:c r="I316" s="28" t="str">
        <x:f>IF($A316="","",IF(ISNUMBER($B316),TEXT($B316,"yyyy-mm"),LEFT($B316,7)))</x:f>
      </x:c>
      <x:c r="J316" s="29" t="str">
        <x:f>IF($A316="","",IF($H316="Completed",$E316*$F316,0))</x:f>
      </x:c>
      <x:c r="K316" s="29" t="str">
        <x:f>IF($A316="","",IF($H316="Completed",$E316*$G316,0))</x:f>
      </x:c>
      <x:c r="L316" s="29" t="str">
        <x:f>IF($A316="","",J316-K316)</x:f>
      </x:c>
    </x:row>
    <x:row r="317">
      <x:c r="F317" s="26"/>
      <x:c r="G317" s="26"/>
      <x:c r="I317" s="28" t="str">
        <x:f>IF($A317="","",IF(ISNUMBER($B317),TEXT($B317,"yyyy-mm"),LEFT($B317,7)))</x:f>
      </x:c>
      <x:c r="J317" s="29" t="str">
        <x:f>IF($A317="","",IF($H317="Completed",$E317*$F317,0))</x:f>
      </x:c>
      <x:c r="K317" s="29" t="str">
        <x:f>IF($A317="","",IF($H317="Completed",$E317*$G317,0))</x:f>
      </x:c>
      <x:c r="L317" s="29" t="str">
        <x:f>IF($A317="","",J317-K317)</x:f>
      </x:c>
    </x:row>
    <x:row r="318">
      <x:c r="F318" s="26"/>
      <x:c r="G318" s="26"/>
      <x:c r="I318" s="28" t="str">
        <x:f>IF($A318="","",IF(ISNUMBER($B318),TEXT($B318,"yyyy-mm"),LEFT($B318,7)))</x:f>
      </x:c>
      <x:c r="J318" s="29" t="str">
        <x:f>IF($A318="","",IF($H318="Completed",$E318*$F318,0))</x:f>
      </x:c>
      <x:c r="K318" s="29" t="str">
        <x:f>IF($A318="","",IF($H318="Completed",$E318*$G318,0))</x:f>
      </x:c>
      <x:c r="L318" s="29" t="str">
        <x:f>IF($A318="","",J318-K318)</x:f>
      </x:c>
    </x:row>
    <x:row r="319">
      <x:c r="F319" s="26"/>
      <x:c r="G319" s="26"/>
      <x:c r="I319" s="28" t="str">
        <x:f>IF($A319="","",IF(ISNUMBER($B319),TEXT($B319,"yyyy-mm"),LEFT($B319,7)))</x:f>
      </x:c>
      <x:c r="J319" s="29" t="str">
        <x:f>IF($A319="","",IF($H319="Completed",$E319*$F319,0))</x:f>
      </x:c>
      <x:c r="K319" s="29" t="str">
        <x:f>IF($A319="","",IF($H319="Completed",$E319*$G319,0))</x:f>
      </x:c>
      <x:c r="L319" s="29" t="str">
        <x:f>IF($A319="","",J319-K319)</x:f>
      </x:c>
    </x:row>
    <x:row r="320">
      <x:c r="F320" s="26"/>
      <x:c r="G320" s="26"/>
      <x:c r="I320" s="28" t="str">
        <x:f>IF($A320="","",IF(ISNUMBER($B320),TEXT($B320,"yyyy-mm"),LEFT($B320,7)))</x:f>
      </x:c>
      <x:c r="J320" s="29" t="str">
        <x:f>IF($A320="","",IF($H320="Completed",$E320*$F320,0))</x:f>
      </x:c>
      <x:c r="K320" s="29" t="str">
        <x:f>IF($A320="","",IF($H320="Completed",$E320*$G320,0))</x:f>
      </x:c>
      <x:c r="L320" s="29" t="str">
        <x:f>IF($A320="","",J320-K320)</x:f>
      </x:c>
    </x:row>
    <x:row r="321">
      <x:c r="F321" s="26"/>
      <x:c r="G321" s="26"/>
      <x:c r="I321" s="28" t="str">
        <x:f>IF($A321="","",IF(ISNUMBER($B321),TEXT($B321,"yyyy-mm"),LEFT($B321,7)))</x:f>
      </x:c>
      <x:c r="J321" s="29" t="str">
        <x:f>IF($A321="","",IF($H321="Completed",$E321*$F321,0))</x:f>
      </x:c>
      <x:c r="K321" s="29" t="str">
        <x:f>IF($A321="","",IF($H321="Completed",$E321*$G321,0))</x:f>
      </x:c>
      <x:c r="L321" s="29" t="str">
        <x:f>IF($A321="","",J321-K321)</x:f>
      </x:c>
    </x:row>
    <x:row r="322">
      <x:c r="F322" s="26"/>
      <x:c r="G322" s="26"/>
      <x:c r="I322" s="28" t="str">
        <x:f>IF($A322="","",IF(ISNUMBER($B322),TEXT($B322,"yyyy-mm"),LEFT($B322,7)))</x:f>
      </x:c>
      <x:c r="J322" s="29" t="str">
        <x:f>IF($A322="","",IF($H322="Completed",$E322*$F322,0))</x:f>
      </x:c>
      <x:c r="K322" s="29" t="str">
        <x:f>IF($A322="","",IF($H322="Completed",$E322*$G322,0))</x:f>
      </x:c>
      <x:c r="L322" s="29" t="str">
        <x:f>IF($A322="","",J322-K322)</x:f>
      </x:c>
    </x:row>
    <x:row r="323">
      <x:c r="F323" s="26"/>
      <x:c r="G323" s="26"/>
      <x:c r="I323" s="28" t="str">
        <x:f>IF($A323="","",IF(ISNUMBER($B323),TEXT($B323,"yyyy-mm"),LEFT($B323,7)))</x:f>
      </x:c>
      <x:c r="J323" s="29" t="str">
        <x:f>IF($A323="","",IF($H323="Completed",$E323*$F323,0))</x:f>
      </x:c>
      <x:c r="K323" s="29" t="str">
        <x:f>IF($A323="","",IF($H323="Completed",$E323*$G323,0))</x:f>
      </x:c>
      <x:c r="L323" s="29" t="str">
        <x:f>IF($A323="","",J323-K323)</x:f>
      </x:c>
    </x:row>
    <x:row r="324">
      <x:c r="F324" s="26"/>
      <x:c r="G324" s="26"/>
      <x:c r="I324" s="28" t="str">
        <x:f>IF($A324="","",IF(ISNUMBER($B324),TEXT($B324,"yyyy-mm"),LEFT($B324,7)))</x:f>
      </x:c>
      <x:c r="J324" s="29" t="str">
        <x:f>IF($A324="","",IF($H324="Completed",$E324*$F324,0))</x:f>
      </x:c>
      <x:c r="K324" s="29" t="str">
        <x:f>IF($A324="","",IF($H324="Completed",$E324*$G324,0))</x:f>
      </x:c>
      <x:c r="L324" s="29" t="str">
        <x:f>IF($A324="","",J324-K324)</x:f>
      </x:c>
    </x:row>
    <x:row r="325">
      <x:c r="F325" s="26"/>
      <x:c r="G325" s="26"/>
      <x:c r="I325" s="28" t="str">
        <x:f>IF($A325="","",IF(ISNUMBER($B325),TEXT($B325,"yyyy-mm"),LEFT($B325,7)))</x:f>
      </x:c>
      <x:c r="J325" s="29" t="str">
        <x:f>IF($A325="","",IF($H325="Completed",$E325*$F325,0))</x:f>
      </x:c>
      <x:c r="K325" s="29" t="str">
        <x:f>IF($A325="","",IF($H325="Completed",$E325*$G325,0))</x:f>
      </x:c>
      <x:c r="L325" s="29" t="str">
        <x:f>IF($A325="","",J325-K325)</x:f>
      </x:c>
    </x:row>
    <x:row r="326">
      <x:c r="F326" s="26"/>
      <x:c r="G326" s="26"/>
      <x:c r="I326" s="28" t="str">
        <x:f>IF($A326="","",IF(ISNUMBER($B326),TEXT($B326,"yyyy-mm"),LEFT($B326,7)))</x:f>
      </x:c>
      <x:c r="J326" s="29" t="str">
        <x:f>IF($A326="","",IF($H326="Completed",$E326*$F326,0))</x:f>
      </x:c>
      <x:c r="K326" s="29" t="str">
        <x:f>IF($A326="","",IF($H326="Completed",$E326*$G326,0))</x:f>
      </x:c>
      <x:c r="L326" s="29" t="str">
        <x:f>IF($A326="","",J326-K326)</x:f>
      </x:c>
    </x:row>
    <x:row r="327">
      <x:c r="F327" s="26"/>
      <x:c r="G327" s="26"/>
      <x:c r="I327" s="28" t="str">
        <x:f>IF($A327="","",IF(ISNUMBER($B327),TEXT($B327,"yyyy-mm"),LEFT($B327,7)))</x:f>
      </x:c>
      <x:c r="J327" s="29" t="str">
        <x:f>IF($A327="","",IF($H327="Completed",$E327*$F327,0))</x:f>
      </x:c>
      <x:c r="K327" s="29" t="str">
        <x:f>IF($A327="","",IF($H327="Completed",$E327*$G327,0))</x:f>
      </x:c>
      <x:c r="L327" s="29" t="str">
        <x:f>IF($A327="","",J327-K327)</x:f>
      </x:c>
    </x:row>
    <x:row r="328">
      <x:c r="F328" s="26"/>
      <x:c r="G328" s="26"/>
      <x:c r="I328" s="28" t="str">
        <x:f>IF($A328="","",IF(ISNUMBER($B328),TEXT($B328,"yyyy-mm"),LEFT($B328,7)))</x:f>
      </x:c>
      <x:c r="J328" s="29" t="str">
        <x:f>IF($A328="","",IF($H328="Completed",$E328*$F328,0))</x:f>
      </x:c>
      <x:c r="K328" s="29" t="str">
        <x:f>IF($A328="","",IF($H328="Completed",$E328*$G328,0))</x:f>
      </x:c>
      <x:c r="L328" s="29" t="str">
        <x:f>IF($A328="","",J328-K328)</x:f>
      </x:c>
    </x:row>
    <x:row r="329">
      <x:c r="F329" s="26"/>
      <x:c r="G329" s="26"/>
      <x:c r="I329" s="28" t="str">
        <x:f>IF($A329="","",IF(ISNUMBER($B329),TEXT($B329,"yyyy-mm"),LEFT($B329,7)))</x:f>
      </x:c>
      <x:c r="J329" s="29" t="str">
        <x:f>IF($A329="","",IF($H329="Completed",$E329*$F329,0))</x:f>
      </x:c>
      <x:c r="K329" s="29" t="str">
        <x:f>IF($A329="","",IF($H329="Completed",$E329*$G329,0))</x:f>
      </x:c>
      <x:c r="L329" s="29" t="str">
        <x:f>IF($A329="","",J329-K329)</x:f>
      </x:c>
    </x:row>
    <x:row r="330">
      <x:c r="F330" s="26"/>
      <x:c r="G330" s="26"/>
      <x:c r="I330" s="28" t="str">
        <x:f>IF($A330="","",IF(ISNUMBER($B330),TEXT($B330,"yyyy-mm"),LEFT($B330,7)))</x:f>
      </x:c>
      <x:c r="J330" s="29" t="str">
        <x:f>IF($A330="","",IF($H330="Completed",$E330*$F330,0))</x:f>
      </x:c>
      <x:c r="K330" s="29" t="str">
        <x:f>IF($A330="","",IF($H330="Completed",$E330*$G330,0))</x:f>
      </x:c>
      <x:c r="L330" s="29" t="str">
        <x:f>IF($A330="","",J330-K330)</x:f>
      </x:c>
    </x:row>
    <x:row r="331">
      <x:c r="F331" s="26"/>
      <x:c r="G331" s="26"/>
      <x:c r="I331" s="28" t="str">
        <x:f>IF($A331="","",IF(ISNUMBER($B331),TEXT($B331,"yyyy-mm"),LEFT($B331,7)))</x:f>
      </x:c>
      <x:c r="J331" s="29" t="str">
        <x:f>IF($A331="","",IF($H331="Completed",$E331*$F331,0))</x:f>
      </x:c>
      <x:c r="K331" s="29" t="str">
        <x:f>IF($A331="","",IF($H331="Completed",$E331*$G331,0))</x:f>
      </x:c>
      <x:c r="L331" s="29" t="str">
        <x:f>IF($A331="","",J331-K331)</x:f>
      </x:c>
    </x:row>
    <x:row r="332">
      <x:c r="F332" s="26"/>
      <x:c r="G332" s="26"/>
      <x:c r="I332" s="28" t="str">
        <x:f>IF($A332="","",IF(ISNUMBER($B332),TEXT($B332,"yyyy-mm"),LEFT($B332,7)))</x:f>
      </x:c>
      <x:c r="J332" s="29" t="str">
        <x:f>IF($A332="","",IF($H332="Completed",$E332*$F332,0))</x:f>
      </x:c>
      <x:c r="K332" s="29" t="str">
        <x:f>IF($A332="","",IF($H332="Completed",$E332*$G332,0))</x:f>
      </x:c>
      <x:c r="L332" s="29" t="str">
        <x:f>IF($A332="","",J332-K332)</x:f>
      </x:c>
    </x:row>
    <x:row r="333">
      <x:c r="F333" s="26"/>
      <x:c r="G333" s="26"/>
      <x:c r="I333" s="28" t="str">
        <x:f>IF($A333="","",IF(ISNUMBER($B333),TEXT($B333,"yyyy-mm"),LEFT($B333,7)))</x:f>
      </x:c>
      <x:c r="J333" s="29" t="str">
        <x:f>IF($A333="","",IF($H333="Completed",$E333*$F333,0))</x:f>
      </x:c>
      <x:c r="K333" s="29" t="str">
        <x:f>IF($A333="","",IF($H333="Completed",$E333*$G333,0))</x:f>
      </x:c>
      <x:c r="L333" s="29" t="str">
        <x:f>IF($A333="","",J333-K333)</x:f>
      </x:c>
    </x:row>
    <x:row r="334">
      <x:c r="F334" s="26"/>
      <x:c r="G334" s="26"/>
      <x:c r="I334" s="28" t="str">
        <x:f>IF($A334="","",IF(ISNUMBER($B334),TEXT($B334,"yyyy-mm"),LEFT($B334,7)))</x:f>
      </x:c>
      <x:c r="J334" s="29" t="str">
        <x:f>IF($A334="","",IF($H334="Completed",$E334*$F334,0))</x:f>
      </x:c>
      <x:c r="K334" s="29" t="str">
        <x:f>IF($A334="","",IF($H334="Completed",$E334*$G334,0))</x:f>
      </x:c>
      <x:c r="L334" s="29" t="str">
        <x:f>IF($A334="","",J334-K334)</x:f>
      </x:c>
    </x:row>
    <x:row r="335">
      <x:c r="F335" s="26"/>
      <x:c r="G335" s="26"/>
      <x:c r="I335" s="28" t="str">
        <x:f>IF($A335="","",IF(ISNUMBER($B335),TEXT($B335,"yyyy-mm"),LEFT($B335,7)))</x:f>
      </x:c>
      <x:c r="J335" s="29" t="str">
        <x:f>IF($A335="","",IF($H335="Completed",$E335*$F335,0))</x:f>
      </x:c>
      <x:c r="K335" s="29" t="str">
        <x:f>IF($A335="","",IF($H335="Completed",$E335*$G335,0))</x:f>
      </x:c>
      <x:c r="L335" s="29" t="str">
        <x:f>IF($A335="","",J335-K335)</x:f>
      </x:c>
    </x:row>
    <x:row r="336">
      <x:c r="F336" s="26"/>
      <x:c r="G336" s="26"/>
      <x:c r="I336" s="28" t="str">
        <x:f>IF($A336="","",IF(ISNUMBER($B336),TEXT($B336,"yyyy-mm"),LEFT($B336,7)))</x:f>
      </x:c>
      <x:c r="J336" s="29" t="str">
        <x:f>IF($A336="","",IF($H336="Completed",$E336*$F336,0))</x:f>
      </x:c>
      <x:c r="K336" s="29" t="str">
        <x:f>IF($A336="","",IF($H336="Completed",$E336*$G336,0))</x:f>
      </x:c>
      <x:c r="L336" s="29" t="str">
        <x:f>IF($A336="","",J336-K336)</x:f>
      </x:c>
    </x:row>
    <x:row r="337">
      <x:c r="F337" s="26"/>
      <x:c r="G337" s="26"/>
      <x:c r="I337" s="28" t="str">
        <x:f>IF($A337="","",IF(ISNUMBER($B337),TEXT($B337,"yyyy-mm"),LEFT($B337,7)))</x:f>
      </x:c>
      <x:c r="J337" s="29" t="str">
        <x:f>IF($A337="","",IF($H337="Completed",$E337*$F337,0))</x:f>
      </x:c>
      <x:c r="K337" s="29" t="str">
        <x:f>IF($A337="","",IF($H337="Completed",$E337*$G337,0))</x:f>
      </x:c>
      <x:c r="L337" s="29" t="str">
        <x:f>IF($A337="","",J337-K337)</x:f>
      </x:c>
    </x:row>
    <x:row r="338">
      <x:c r="F338" s="26"/>
      <x:c r="G338" s="26"/>
      <x:c r="I338" s="28" t="str">
        <x:f>IF($A338="","",IF(ISNUMBER($B338),TEXT($B338,"yyyy-mm"),LEFT($B338,7)))</x:f>
      </x:c>
      <x:c r="J338" s="29" t="str">
        <x:f>IF($A338="","",IF($H338="Completed",$E338*$F338,0))</x:f>
      </x:c>
      <x:c r="K338" s="29" t="str">
        <x:f>IF($A338="","",IF($H338="Completed",$E338*$G338,0))</x:f>
      </x:c>
      <x:c r="L338" s="29" t="str">
        <x:f>IF($A338="","",J338-K338)</x:f>
      </x:c>
    </x:row>
    <x:row r="339">
      <x:c r="F339" s="26"/>
      <x:c r="G339" s="26"/>
      <x:c r="I339" s="28" t="str">
        <x:f>IF($A339="","",IF(ISNUMBER($B339),TEXT($B339,"yyyy-mm"),LEFT($B339,7)))</x:f>
      </x:c>
      <x:c r="J339" s="29" t="str">
        <x:f>IF($A339="","",IF($H339="Completed",$E339*$F339,0))</x:f>
      </x:c>
      <x:c r="K339" s="29" t="str">
        <x:f>IF($A339="","",IF($H339="Completed",$E339*$G339,0))</x:f>
      </x:c>
      <x:c r="L339" s="29" t="str">
        <x:f>IF($A339="","",J339-K339)</x:f>
      </x:c>
    </x:row>
    <x:row r="340">
      <x:c r="F340" s="26"/>
      <x:c r="G340" s="26"/>
      <x:c r="I340" s="28" t="str">
        <x:f>IF($A340="","",IF(ISNUMBER($B340),TEXT($B340,"yyyy-mm"),LEFT($B340,7)))</x:f>
      </x:c>
      <x:c r="J340" s="29" t="str">
        <x:f>IF($A340="","",IF($H340="Completed",$E340*$F340,0))</x:f>
      </x:c>
      <x:c r="K340" s="29" t="str">
        <x:f>IF($A340="","",IF($H340="Completed",$E340*$G340,0))</x:f>
      </x:c>
      <x:c r="L340" s="29" t="str">
        <x:f>IF($A340="","",J340-K340)</x:f>
      </x:c>
    </x:row>
    <x:row r="341">
      <x:c r="F341" s="26"/>
      <x:c r="G341" s="26"/>
      <x:c r="I341" s="28" t="str">
        <x:f>IF($A341="","",IF(ISNUMBER($B341),TEXT($B341,"yyyy-mm"),LEFT($B341,7)))</x:f>
      </x:c>
      <x:c r="J341" s="29" t="str">
        <x:f>IF($A341="","",IF($H341="Completed",$E341*$F341,0))</x:f>
      </x:c>
      <x:c r="K341" s="29" t="str">
        <x:f>IF($A341="","",IF($H341="Completed",$E341*$G341,0))</x:f>
      </x:c>
      <x:c r="L341" s="29" t="str">
        <x:f>IF($A341="","",J341-K341)</x:f>
      </x:c>
    </x:row>
    <x:row r="342">
      <x:c r="F342" s="26"/>
      <x:c r="G342" s="26"/>
      <x:c r="I342" s="28" t="str">
        <x:f>IF($A342="","",IF(ISNUMBER($B342),TEXT($B342,"yyyy-mm"),LEFT($B342,7)))</x:f>
      </x:c>
      <x:c r="J342" s="29" t="str">
        <x:f>IF($A342="","",IF($H342="Completed",$E342*$F342,0))</x:f>
      </x:c>
      <x:c r="K342" s="29" t="str">
        <x:f>IF($A342="","",IF($H342="Completed",$E342*$G342,0))</x:f>
      </x:c>
      <x:c r="L342" s="29" t="str">
        <x:f>IF($A342="","",J342-K342)</x:f>
      </x:c>
    </x:row>
    <x:row r="343">
      <x:c r="F343" s="26"/>
      <x:c r="G343" s="26"/>
      <x:c r="I343" s="28" t="str">
        <x:f>IF($A343="","",IF(ISNUMBER($B343),TEXT($B343,"yyyy-mm"),LEFT($B343,7)))</x:f>
      </x:c>
      <x:c r="J343" s="29" t="str">
        <x:f>IF($A343="","",IF($H343="Completed",$E343*$F343,0))</x:f>
      </x:c>
      <x:c r="K343" s="29" t="str">
        <x:f>IF($A343="","",IF($H343="Completed",$E343*$G343,0))</x:f>
      </x:c>
      <x:c r="L343" s="29" t="str">
        <x:f>IF($A343="","",J343-K343)</x:f>
      </x:c>
    </x:row>
    <x:row r="344">
      <x:c r="F344" s="26"/>
      <x:c r="G344" s="26"/>
      <x:c r="I344" s="28" t="str">
        <x:f>IF($A344="","",IF(ISNUMBER($B344),TEXT($B344,"yyyy-mm"),LEFT($B344,7)))</x:f>
      </x:c>
      <x:c r="J344" s="29" t="str">
        <x:f>IF($A344="","",IF($H344="Completed",$E344*$F344,0))</x:f>
      </x:c>
      <x:c r="K344" s="29" t="str">
        <x:f>IF($A344="","",IF($H344="Completed",$E344*$G344,0))</x:f>
      </x:c>
      <x:c r="L344" s="29" t="str">
        <x:f>IF($A344="","",J344-K344)</x:f>
      </x:c>
    </x:row>
    <x:row r="345">
      <x:c r="F345" s="26"/>
      <x:c r="G345" s="26"/>
      <x:c r="I345" s="28" t="str">
        <x:f>IF($A345="","",IF(ISNUMBER($B345),TEXT($B345,"yyyy-mm"),LEFT($B345,7)))</x:f>
      </x:c>
      <x:c r="J345" s="29" t="str">
        <x:f>IF($A345="","",IF($H345="Completed",$E345*$F345,0))</x:f>
      </x:c>
      <x:c r="K345" s="29" t="str">
        <x:f>IF($A345="","",IF($H345="Completed",$E345*$G345,0))</x:f>
      </x:c>
      <x:c r="L345" s="29" t="str">
        <x:f>IF($A345="","",J345-K345)</x:f>
      </x:c>
    </x:row>
    <x:row r="346">
      <x:c r="F346" s="26"/>
      <x:c r="G346" s="26"/>
      <x:c r="I346" s="28" t="str">
        <x:f>IF($A346="","",IF(ISNUMBER($B346),TEXT($B346,"yyyy-mm"),LEFT($B346,7)))</x:f>
      </x:c>
      <x:c r="J346" s="29" t="str">
        <x:f>IF($A346="","",IF($H346="Completed",$E346*$F346,0))</x:f>
      </x:c>
      <x:c r="K346" s="29" t="str">
        <x:f>IF($A346="","",IF($H346="Completed",$E346*$G346,0))</x:f>
      </x:c>
      <x:c r="L346" s="29" t="str">
        <x:f>IF($A346="","",J346-K346)</x:f>
      </x:c>
    </x:row>
    <x:row r="347">
      <x:c r="F347" s="26"/>
      <x:c r="G347" s="26"/>
      <x:c r="I347" s="28" t="str">
        <x:f>IF($A347="","",IF(ISNUMBER($B347),TEXT($B347,"yyyy-mm"),LEFT($B347,7)))</x:f>
      </x:c>
      <x:c r="J347" s="29" t="str">
        <x:f>IF($A347="","",IF($H347="Completed",$E347*$F347,0))</x:f>
      </x:c>
      <x:c r="K347" s="29" t="str">
        <x:f>IF($A347="","",IF($H347="Completed",$E347*$G347,0))</x:f>
      </x:c>
      <x:c r="L347" s="29" t="str">
        <x:f>IF($A347="","",J347-K347)</x:f>
      </x:c>
    </x:row>
    <x:row r="348">
      <x:c r="F348" s="26"/>
      <x:c r="G348" s="26"/>
      <x:c r="I348" s="28" t="str">
        <x:f>IF($A348="","",IF(ISNUMBER($B348),TEXT($B348,"yyyy-mm"),LEFT($B348,7)))</x:f>
      </x:c>
      <x:c r="J348" s="29" t="str">
        <x:f>IF($A348="","",IF($H348="Completed",$E348*$F348,0))</x:f>
      </x:c>
      <x:c r="K348" s="29" t="str">
        <x:f>IF($A348="","",IF($H348="Completed",$E348*$G348,0))</x:f>
      </x:c>
      <x:c r="L348" s="29" t="str">
        <x:f>IF($A348="","",J348-K348)</x:f>
      </x:c>
    </x:row>
    <x:row r="349">
      <x:c r="F349" s="26"/>
      <x:c r="G349" s="26"/>
      <x:c r="I349" s="28" t="str">
        <x:f>IF($A349="","",IF(ISNUMBER($B349),TEXT($B349,"yyyy-mm"),LEFT($B349,7)))</x:f>
      </x:c>
      <x:c r="J349" s="29" t="str">
        <x:f>IF($A349="","",IF($H349="Completed",$E349*$F349,0))</x:f>
      </x:c>
      <x:c r="K349" s="29" t="str">
        <x:f>IF($A349="","",IF($H349="Completed",$E349*$G349,0))</x:f>
      </x:c>
      <x:c r="L349" s="29" t="str">
        <x:f>IF($A349="","",J349-K349)</x:f>
      </x:c>
    </x:row>
    <x:row r="350">
      <x:c r="F350" s="26"/>
      <x:c r="G350" s="26"/>
      <x:c r="I350" s="28" t="str">
        <x:f>IF($A350="","",IF(ISNUMBER($B350),TEXT($B350,"yyyy-mm"),LEFT($B350,7)))</x:f>
      </x:c>
      <x:c r="J350" s="29" t="str">
        <x:f>IF($A350="","",IF($H350="Completed",$E350*$F350,0))</x:f>
      </x:c>
      <x:c r="K350" s="29" t="str">
        <x:f>IF($A350="","",IF($H350="Completed",$E350*$G350,0))</x:f>
      </x:c>
      <x:c r="L350" s="29" t="str">
        <x:f>IF($A350="","",J350-K350)</x:f>
      </x:c>
    </x:row>
    <x:row r="351">
      <x:c r="F351" s="26"/>
      <x:c r="G351" s="26"/>
      <x:c r="I351" s="28" t="str">
        <x:f>IF($A351="","",IF(ISNUMBER($B351),TEXT($B351,"yyyy-mm"),LEFT($B351,7)))</x:f>
      </x:c>
      <x:c r="J351" s="29" t="str">
        <x:f>IF($A351="","",IF($H351="Completed",$E351*$F351,0))</x:f>
      </x:c>
      <x:c r="K351" s="29" t="str">
        <x:f>IF($A351="","",IF($H351="Completed",$E351*$G351,0))</x:f>
      </x:c>
      <x:c r="L351" s="29" t="str">
        <x:f>IF($A351="","",J351-K351)</x:f>
      </x:c>
    </x:row>
    <x:row r="352">
      <x:c r="F352" s="26"/>
      <x:c r="G352" s="26"/>
      <x:c r="I352" s="28" t="str">
        <x:f>IF($A352="","",IF(ISNUMBER($B352),TEXT($B352,"yyyy-mm"),LEFT($B352,7)))</x:f>
      </x:c>
      <x:c r="J352" s="29" t="str">
        <x:f>IF($A352="","",IF($H352="Completed",$E352*$F352,0))</x:f>
      </x:c>
      <x:c r="K352" s="29" t="str">
        <x:f>IF($A352="","",IF($H352="Completed",$E352*$G352,0))</x:f>
      </x:c>
      <x:c r="L352" s="29" t="str">
        <x:f>IF($A352="","",J352-K352)</x:f>
      </x:c>
    </x:row>
    <x:row r="353">
      <x:c r="F353" s="26"/>
      <x:c r="G353" s="26"/>
      <x:c r="I353" s="28" t="str">
        <x:f>IF($A353="","",IF(ISNUMBER($B353),TEXT($B353,"yyyy-mm"),LEFT($B353,7)))</x:f>
      </x:c>
      <x:c r="J353" s="29" t="str">
        <x:f>IF($A353="","",IF($H353="Completed",$E353*$F353,0))</x:f>
      </x:c>
      <x:c r="K353" s="29" t="str">
        <x:f>IF($A353="","",IF($H353="Completed",$E353*$G353,0))</x:f>
      </x:c>
      <x:c r="L353" s="29" t="str">
        <x:f>IF($A353="","",J353-K353)</x:f>
      </x:c>
    </x:row>
    <x:row r="354">
      <x:c r="F354" s="26"/>
      <x:c r="G354" s="26"/>
      <x:c r="I354" s="28" t="str">
        <x:f>IF($A354="","",IF(ISNUMBER($B354),TEXT($B354,"yyyy-mm"),LEFT($B354,7)))</x:f>
      </x:c>
      <x:c r="J354" s="29" t="str">
        <x:f>IF($A354="","",IF($H354="Completed",$E354*$F354,0))</x:f>
      </x:c>
      <x:c r="K354" s="29" t="str">
        <x:f>IF($A354="","",IF($H354="Completed",$E354*$G354,0))</x:f>
      </x:c>
      <x:c r="L354" s="29" t="str">
        <x:f>IF($A354="","",J354-K354)</x:f>
      </x:c>
    </x:row>
    <x:row r="355">
      <x:c r="F355" s="26"/>
      <x:c r="G355" s="26"/>
      <x:c r="I355" s="28" t="str">
        <x:f>IF($A355="","",IF(ISNUMBER($B355),TEXT($B355,"yyyy-mm"),LEFT($B355,7)))</x:f>
      </x:c>
      <x:c r="J355" s="29" t="str">
        <x:f>IF($A355="","",IF($H355="Completed",$E355*$F355,0))</x:f>
      </x:c>
      <x:c r="K355" s="29" t="str">
        <x:f>IF($A355="","",IF($H355="Completed",$E355*$G355,0))</x:f>
      </x:c>
      <x:c r="L355" s="29" t="str">
        <x:f>IF($A355="","",J355-K355)</x:f>
      </x:c>
    </x:row>
    <x:row r="356">
      <x:c r="F356" s="26"/>
      <x:c r="G356" s="26"/>
      <x:c r="I356" s="28" t="str">
        <x:f>IF($A356="","",IF(ISNUMBER($B356),TEXT($B356,"yyyy-mm"),LEFT($B356,7)))</x:f>
      </x:c>
      <x:c r="J356" s="29" t="str">
        <x:f>IF($A356="","",IF($H356="Completed",$E356*$F356,0))</x:f>
      </x:c>
      <x:c r="K356" s="29" t="str">
        <x:f>IF($A356="","",IF($H356="Completed",$E356*$G356,0))</x:f>
      </x:c>
      <x:c r="L356" s="29" t="str">
        <x:f>IF($A356="","",J356-K356)</x:f>
      </x:c>
    </x:row>
    <x:row r="357">
      <x:c r="F357" s="26"/>
      <x:c r="G357" s="26"/>
      <x:c r="I357" s="28" t="str">
        <x:f>IF($A357="","",IF(ISNUMBER($B357),TEXT($B357,"yyyy-mm"),LEFT($B357,7)))</x:f>
      </x:c>
      <x:c r="J357" s="29" t="str">
        <x:f>IF($A357="","",IF($H357="Completed",$E357*$F357,0))</x:f>
      </x:c>
      <x:c r="K357" s="29" t="str">
        <x:f>IF($A357="","",IF($H357="Completed",$E357*$G357,0))</x:f>
      </x:c>
      <x:c r="L357" s="29" t="str">
        <x:f>IF($A357="","",J357-K357)</x:f>
      </x:c>
    </x:row>
    <x:row r="358">
      <x:c r="F358" s="26"/>
      <x:c r="G358" s="26"/>
      <x:c r="I358" s="28" t="str">
        <x:f>IF($A358="","",IF(ISNUMBER($B358),TEXT($B358,"yyyy-mm"),LEFT($B358,7)))</x:f>
      </x:c>
      <x:c r="J358" s="29" t="str">
        <x:f>IF($A358="","",IF($H358="Completed",$E358*$F358,0))</x:f>
      </x:c>
      <x:c r="K358" s="29" t="str">
        <x:f>IF($A358="","",IF($H358="Completed",$E358*$G358,0))</x:f>
      </x:c>
      <x:c r="L358" s="29" t="str">
        <x:f>IF($A358="","",J358-K358)</x:f>
      </x:c>
    </x:row>
    <x:row r="359">
      <x:c r="F359" s="26"/>
      <x:c r="G359" s="26"/>
      <x:c r="I359" s="28" t="str">
        <x:f>IF($A359="","",IF(ISNUMBER($B359),TEXT($B359,"yyyy-mm"),LEFT($B359,7)))</x:f>
      </x:c>
      <x:c r="J359" s="29" t="str">
        <x:f>IF($A359="","",IF($H359="Completed",$E359*$F359,0))</x:f>
      </x:c>
      <x:c r="K359" s="29" t="str">
        <x:f>IF($A359="","",IF($H359="Completed",$E359*$G359,0))</x:f>
      </x:c>
      <x:c r="L359" s="29" t="str">
        <x:f>IF($A359="","",J359-K359)</x:f>
      </x:c>
    </x:row>
    <x:row r="360">
      <x:c r="F360" s="26"/>
      <x:c r="G360" s="26"/>
      <x:c r="I360" s="28" t="str">
        <x:f>IF($A360="","",IF(ISNUMBER($B360),TEXT($B360,"yyyy-mm"),LEFT($B360,7)))</x:f>
      </x:c>
      <x:c r="J360" s="29" t="str">
        <x:f>IF($A360="","",IF($H360="Completed",$E360*$F360,0))</x:f>
      </x:c>
      <x:c r="K360" s="29" t="str">
        <x:f>IF($A360="","",IF($H360="Completed",$E360*$G360,0))</x:f>
      </x:c>
      <x:c r="L360" s="29" t="str">
        <x:f>IF($A360="","",J360-K360)</x:f>
      </x:c>
    </x:row>
    <x:row r="361">
      <x:c r="F361" s="26"/>
      <x:c r="G361" s="26"/>
      <x:c r="I361" s="28" t="str">
        <x:f>IF($A361="","",IF(ISNUMBER($B361),TEXT($B361,"yyyy-mm"),LEFT($B361,7)))</x:f>
      </x:c>
      <x:c r="J361" s="29" t="str">
        <x:f>IF($A361="","",IF($H361="Completed",$E361*$F361,0))</x:f>
      </x:c>
      <x:c r="K361" s="29" t="str">
        <x:f>IF($A361="","",IF($H361="Completed",$E361*$G361,0))</x:f>
      </x:c>
      <x:c r="L361" s="29" t="str">
        <x:f>IF($A361="","",J361-K361)</x:f>
      </x:c>
    </x:row>
    <x:row r="362">
      <x:c r="F362" s="26"/>
      <x:c r="G362" s="26"/>
      <x:c r="I362" s="28" t="str">
        <x:f>IF($A362="","",IF(ISNUMBER($B362),TEXT($B362,"yyyy-mm"),LEFT($B362,7)))</x:f>
      </x:c>
      <x:c r="J362" s="29" t="str">
        <x:f>IF($A362="","",IF($H362="Completed",$E362*$F362,0))</x:f>
      </x:c>
      <x:c r="K362" s="29" t="str">
        <x:f>IF($A362="","",IF($H362="Completed",$E362*$G362,0))</x:f>
      </x:c>
      <x:c r="L362" s="29" t="str">
        <x:f>IF($A362="","",J362-K362)</x:f>
      </x:c>
    </x:row>
    <x:row r="363">
      <x:c r="F363" s="26"/>
      <x:c r="G363" s="26"/>
      <x:c r="I363" s="28" t="str">
        <x:f>IF($A363="","",IF(ISNUMBER($B363),TEXT($B363,"yyyy-mm"),LEFT($B363,7)))</x:f>
      </x:c>
      <x:c r="J363" s="29" t="str">
        <x:f>IF($A363="","",IF($H363="Completed",$E363*$F363,0))</x:f>
      </x:c>
      <x:c r="K363" s="29" t="str">
        <x:f>IF($A363="","",IF($H363="Completed",$E363*$G363,0))</x:f>
      </x:c>
      <x:c r="L363" s="29" t="str">
        <x:f>IF($A363="","",J363-K363)</x:f>
      </x:c>
    </x:row>
    <x:row r="364">
      <x:c r="F364" s="26"/>
      <x:c r="G364" s="26"/>
      <x:c r="I364" s="28" t="str">
        <x:f>IF($A364="","",IF(ISNUMBER($B364),TEXT($B364,"yyyy-mm"),LEFT($B364,7)))</x:f>
      </x:c>
      <x:c r="J364" s="29" t="str">
        <x:f>IF($A364="","",IF($H364="Completed",$E364*$F364,0))</x:f>
      </x:c>
      <x:c r="K364" s="29" t="str">
        <x:f>IF($A364="","",IF($H364="Completed",$E364*$G364,0))</x:f>
      </x:c>
      <x:c r="L364" s="29" t="str">
        <x:f>IF($A364="","",J364-K364)</x:f>
      </x:c>
    </x:row>
    <x:row r="365">
      <x:c r="F365" s="26"/>
      <x:c r="G365" s="26"/>
      <x:c r="I365" s="28" t="str">
        <x:f>IF($A365="","",IF(ISNUMBER($B365),TEXT($B365,"yyyy-mm"),LEFT($B365,7)))</x:f>
      </x:c>
      <x:c r="J365" s="29" t="str">
        <x:f>IF($A365="","",IF($H365="Completed",$E365*$F365,0))</x:f>
      </x:c>
      <x:c r="K365" s="29" t="str">
        <x:f>IF($A365="","",IF($H365="Completed",$E365*$G365,0))</x:f>
      </x:c>
      <x:c r="L365" s="29" t="str">
        <x:f>IF($A365="","",J365-K365)</x:f>
      </x:c>
    </x:row>
    <x:row r="366">
      <x:c r="F366" s="26"/>
      <x:c r="G366" s="26"/>
      <x:c r="I366" s="28" t="str">
        <x:f>IF($A366="","",IF(ISNUMBER($B366),TEXT($B366,"yyyy-mm"),LEFT($B366,7)))</x:f>
      </x:c>
      <x:c r="J366" s="29" t="str">
        <x:f>IF($A366="","",IF($H366="Completed",$E366*$F366,0))</x:f>
      </x:c>
      <x:c r="K366" s="29" t="str">
        <x:f>IF($A366="","",IF($H366="Completed",$E366*$G366,0))</x:f>
      </x:c>
      <x:c r="L366" s="29" t="str">
        <x:f>IF($A366="","",J366-K366)</x:f>
      </x:c>
    </x:row>
    <x:row r="367">
      <x:c r="F367" s="26"/>
      <x:c r="G367" s="26"/>
      <x:c r="I367" s="28" t="str">
        <x:f>IF($A367="","",IF(ISNUMBER($B367),TEXT($B367,"yyyy-mm"),LEFT($B367,7)))</x:f>
      </x:c>
      <x:c r="J367" s="29" t="str">
        <x:f>IF($A367="","",IF($H367="Completed",$E367*$F367,0))</x:f>
      </x:c>
      <x:c r="K367" s="29" t="str">
        <x:f>IF($A367="","",IF($H367="Completed",$E367*$G367,0))</x:f>
      </x:c>
      <x:c r="L367" s="29" t="str">
        <x:f>IF($A367="","",J367-K367)</x:f>
      </x:c>
    </x:row>
    <x:row r="368">
      <x:c r="F368" s="26"/>
      <x:c r="G368" s="26"/>
      <x:c r="I368" s="28" t="str">
        <x:f>IF($A368="","",IF(ISNUMBER($B368),TEXT($B368,"yyyy-mm"),LEFT($B368,7)))</x:f>
      </x:c>
      <x:c r="J368" s="29" t="str">
        <x:f>IF($A368="","",IF($H368="Completed",$E368*$F368,0))</x:f>
      </x:c>
      <x:c r="K368" s="29" t="str">
        <x:f>IF($A368="","",IF($H368="Completed",$E368*$G368,0))</x:f>
      </x:c>
      <x:c r="L368" s="29" t="str">
        <x:f>IF($A368="","",J368-K368)</x:f>
      </x:c>
    </x:row>
    <x:row r="369">
      <x:c r="F369" s="26"/>
      <x:c r="G369" s="26"/>
      <x:c r="I369" s="28" t="str">
        <x:f>IF($A369="","",IF(ISNUMBER($B369),TEXT($B369,"yyyy-mm"),LEFT($B369,7)))</x:f>
      </x:c>
      <x:c r="J369" s="29" t="str">
        <x:f>IF($A369="","",IF($H369="Completed",$E369*$F369,0))</x:f>
      </x:c>
      <x:c r="K369" s="29" t="str">
        <x:f>IF($A369="","",IF($H369="Completed",$E369*$G369,0))</x:f>
      </x:c>
      <x:c r="L369" s="29" t="str">
        <x:f>IF($A369="","",J369-K369)</x:f>
      </x:c>
    </x:row>
    <x:row r="370">
      <x:c r="F370" s="26"/>
      <x:c r="G370" s="26"/>
      <x:c r="I370" s="28" t="str">
        <x:f>IF($A370="","",IF(ISNUMBER($B370),TEXT($B370,"yyyy-mm"),LEFT($B370,7)))</x:f>
      </x:c>
      <x:c r="J370" s="29" t="str">
        <x:f>IF($A370="","",IF($H370="Completed",$E370*$F370,0))</x:f>
      </x:c>
      <x:c r="K370" s="29" t="str">
        <x:f>IF($A370="","",IF($H370="Completed",$E370*$G370,0))</x:f>
      </x:c>
      <x:c r="L370" s="29" t="str">
        <x:f>IF($A370="","",J370-K370)</x:f>
      </x:c>
    </x:row>
    <x:row r="371">
      <x:c r="F371" s="26"/>
      <x:c r="G371" s="26"/>
      <x:c r="I371" s="28" t="str">
        <x:f>IF($A371="","",IF(ISNUMBER($B371),TEXT($B371,"yyyy-mm"),LEFT($B371,7)))</x:f>
      </x:c>
      <x:c r="J371" s="29" t="str">
        <x:f>IF($A371="","",IF($H371="Completed",$E371*$F371,0))</x:f>
      </x:c>
      <x:c r="K371" s="29" t="str">
        <x:f>IF($A371="","",IF($H371="Completed",$E371*$G371,0))</x:f>
      </x:c>
      <x:c r="L371" s="29" t="str">
        <x:f>IF($A371="","",J371-K371)</x:f>
      </x:c>
    </x:row>
    <x:row r="372">
      <x:c r="F372" s="26"/>
      <x:c r="G372" s="26"/>
      <x:c r="I372" s="28" t="str">
        <x:f>IF($A372="","",IF(ISNUMBER($B372),TEXT($B372,"yyyy-mm"),LEFT($B372,7)))</x:f>
      </x:c>
      <x:c r="J372" s="29" t="str">
        <x:f>IF($A372="","",IF($H372="Completed",$E372*$F372,0))</x:f>
      </x:c>
      <x:c r="K372" s="29" t="str">
        <x:f>IF($A372="","",IF($H372="Completed",$E372*$G372,0))</x:f>
      </x:c>
      <x:c r="L372" s="29" t="str">
        <x:f>IF($A372="","",J372-K372)</x:f>
      </x:c>
    </x:row>
    <x:row r="373">
      <x:c r="F373" s="26"/>
      <x:c r="G373" s="26"/>
      <x:c r="I373" s="28" t="str">
        <x:f>IF($A373="","",IF(ISNUMBER($B373),TEXT($B373,"yyyy-mm"),LEFT($B373,7)))</x:f>
      </x:c>
      <x:c r="J373" s="29" t="str">
        <x:f>IF($A373="","",IF($H373="Completed",$E373*$F373,0))</x:f>
      </x:c>
      <x:c r="K373" s="29" t="str">
        <x:f>IF($A373="","",IF($H373="Completed",$E373*$G373,0))</x:f>
      </x:c>
      <x:c r="L373" s="29" t="str">
        <x:f>IF($A373="","",J373-K373)</x:f>
      </x:c>
    </x:row>
    <x:row r="374">
      <x:c r="F374" s="26"/>
      <x:c r="G374" s="26"/>
      <x:c r="I374" s="28" t="str">
        <x:f>IF($A374="","",IF(ISNUMBER($B374),TEXT($B374,"yyyy-mm"),LEFT($B374,7)))</x:f>
      </x:c>
      <x:c r="J374" s="29" t="str">
        <x:f>IF($A374="","",IF($H374="Completed",$E374*$F374,0))</x:f>
      </x:c>
      <x:c r="K374" s="29" t="str">
        <x:f>IF($A374="","",IF($H374="Completed",$E374*$G374,0))</x:f>
      </x:c>
      <x:c r="L374" s="29" t="str">
        <x:f>IF($A374="","",J374-K374)</x:f>
      </x:c>
    </x:row>
    <x:row r="375">
      <x:c r="F375" s="26"/>
      <x:c r="G375" s="26"/>
      <x:c r="I375" s="28" t="str">
        <x:f>IF($A375="","",IF(ISNUMBER($B375),TEXT($B375,"yyyy-mm"),LEFT($B375,7)))</x:f>
      </x:c>
      <x:c r="J375" s="29" t="str">
        <x:f>IF($A375="","",IF($H375="Completed",$E375*$F375,0))</x:f>
      </x:c>
      <x:c r="K375" s="29" t="str">
        <x:f>IF($A375="","",IF($H375="Completed",$E375*$G375,0))</x:f>
      </x:c>
      <x:c r="L375" s="29" t="str">
        <x:f>IF($A375="","",J375-K375)</x:f>
      </x:c>
    </x:row>
    <x:row r="376">
      <x:c r="F376" s="26"/>
      <x:c r="G376" s="26"/>
      <x:c r="I376" s="28" t="str">
        <x:f>IF($A376="","",IF(ISNUMBER($B376),TEXT($B376,"yyyy-mm"),LEFT($B376,7)))</x:f>
      </x:c>
      <x:c r="J376" s="29" t="str">
        <x:f>IF($A376="","",IF($H376="Completed",$E376*$F376,0))</x:f>
      </x:c>
      <x:c r="K376" s="29" t="str">
        <x:f>IF($A376="","",IF($H376="Completed",$E376*$G376,0))</x:f>
      </x:c>
      <x:c r="L376" s="29" t="str">
        <x:f>IF($A376="","",J376-K376)</x:f>
      </x:c>
    </x:row>
    <x:row r="377">
      <x:c r="F377" s="26"/>
      <x:c r="G377" s="26"/>
      <x:c r="I377" s="28" t="str">
        <x:f>IF($A377="","",IF(ISNUMBER($B377),TEXT($B377,"yyyy-mm"),LEFT($B377,7)))</x:f>
      </x:c>
      <x:c r="J377" s="29" t="str">
        <x:f>IF($A377="","",IF($H377="Completed",$E377*$F377,0))</x:f>
      </x:c>
      <x:c r="K377" s="29" t="str">
        <x:f>IF($A377="","",IF($H377="Completed",$E377*$G377,0))</x:f>
      </x:c>
      <x:c r="L377" s="29" t="str">
        <x:f>IF($A377="","",J377-K377)</x:f>
      </x:c>
    </x:row>
    <x:row r="378">
      <x:c r="F378" s="26"/>
      <x:c r="G378" s="26"/>
      <x:c r="I378" s="28" t="str">
        <x:f>IF($A378="","",IF(ISNUMBER($B378),TEXT($B378,"yyyy-mm"),LEFT($B378,7)))</x:f>
      </x:c>
      <x:c r="J378" s="29" t="str">
        <x:f>IF($A378="","",IF($H378="Completed",$E378*$F378,0))</x:f>
      </x:c>
      <x:c r="K378" s="29" t="str">
        <x:f>IF($A378="","",IF($H378="Completed",$E378*$G378,0))</x:f>
      </x:c>
      <x:c r="L378" s="29" t="str">
        <x:f>IF($A378="","",J378-K378)</x:f>
      </x:c>
    </x:row>
    <x:row r="379">
      <x:c r="F379" s="26"/>
      <x:c r="G379" s="26"/>
      <x:c r="I379" s="28" t="str">
        <x:f>IF($A379="","",IF(ISNUMBER($B379),TEXT($B379,"yyyy-mm"),LEFT($B379,7)))</x:f>
      </x:c>
      <x:c r="J379" s="29" t="str">
        <x:f>IF($A379="","",IF($H379="Completed",$E379*$F379,0))</x:f>
      </x:c>
      <x:c r="K379" s="29" t="str">
        <x:f>IF($A379="","",IF($H379="Completed",$E379*$G379,0))</x:f>
      </x:c>
      <x:c r="L379" s="29" t="str">
        <x:f>IF($A379="","",J379-K379)</x:f>
      </x:c>
    </x:row>
    <x:row r="380">
      <x:c r="F380" s="26"/>
      <x:c r="G380" s="26"/>
      <x:c r="I380" s="28" t="str">
        <x:f>IF($A380="","",IF(ISNUMBER($B380),TEXT($B380,"yyyy-mm"),LEFT($B380,7)))</x:f>
      </x:c>
      <x:c r="J380" s="29" t="str">
        <x:f>IF($A380="","",IF($H380="Completed",$E380*$F380,0))</x:f>
      </x:c>
      <x:c r="K380" s="29" t="str">
        <x:f>IF($A380="","",IF($H380="Completed",$E380*$G380,0))</x:f>
      </x:c>
      <x:c r="L380" s="29" t="str">
        <x:f>IF($A380="","",J380-K380)</x:f>
      </x:c>
    </x:row>
    <x:row r="381">
      <x:c r="F381" s="26"/>
      <x:c r="G381" s="26"/>
      <x:c r="I381" s="28" t="str">
        <x:f>IF($A381="","",IF(ISNUMBER($B381),TEXT($B381,"yyyy-mm"),LEFT($B381,7)))</x:f>
      </x:c>
      <x:c r="J381" s="29" t="str">
        <x:f>IF($A381="","",IF($H381="Completed",$E381*$F381,0))</x:f>
      </x:c>
      <x:c r="K381" s="29" t="str">
        <x:f>IF($A381="","",IF($H381="Completed",$E381*$G381,0))</x:f>
      </x:c>
      <x:c r="L381" s="29" t="str">
        <x:f>IF($A381="","",J381-K381)</x:f>
      </x:c>
    </x:row>
    <x:row r="382">
      <x:c r="F382" s="26"/>
      <x:c r="G382" s="26"/>
      <x:c r="I382" s="28" t="str">
        <x:f>IF($A382="","",IF(ISNUMBER($B382),TEXT($B382,"yyyy-mm"),LEFT($B382,7)))</x:f>
      </x:c>
      <x:c r="J382" s="29" t="str">
        <x:f>IF($A382="","",IF($H382="Completed",$E382*$F382,0))</x:f>
      </x:c>
      <x:c r="K382" s="29" t="str">
        <x:f>IF($A382="","",IF($H382="Completed",$E382*$G382,0))</x:f>
      </x:c>
      <x:c r="L382" s="29" t="str">
        <x:f>IF($A382="","",J382-K382)</x:f>
      </x:c>
    </x:row>
    <x:row r="383">
      <x:c r="F383" s="26"/>
      <x:c r="G383" s="26"/>
      <x:c r="I383" s="28" t="str">
        <x:f>IF($A383="","",IF(ISNUMBER($B383),TEXT($B383,"yyyy-mm"),LEFT($B383,7)))</x:f>
      </x:c>
      <x:c r="J383" s="29" t="str">
        <x:f>IF($A383="","",IF($H383="Completed",$E383*$F383,0))</x:f>
      </x:c>
      <x:c r="K383" s="29" t="str">
        <x:f>IF($A383="","",IF($H383="Completed",$E383*$G383,0))</x:f>
      </x:c>
      <x:c r="L383" s="29" t="str">
        <x:f>IF($A383="","",J383-K383)</x:f>
      </x:c>
    </x:row>
    <x:row r="384">
      <x:c r="F384" s="26"/>
      <x:c r="G384" s="26"/>
      <x:c r="I384" s="28" t="str">
        <x:f>IF($A384="","",IF(ISNUMBER($B384),TEXT($B384,"yyyy-mm"),LEFT($B384,7)))</x:f>
      </x:c>
      <x:c r="J384" s="29" t="str">
        <x:f>IF($A384="","",IF($H384="Completed",$E384*$F384,0))</x:f>
      </x:c>
      <x:c r="K384" s="29" t="str">
        <x:f>IF($A384="","",IF($H384="Completed",$E384*$G384,0))</x:f>
      </x:c>
      <x:c r="L384" s="29" t="str">
        <x:f>IF($A384="","",J384-K384)</x:f>
      </x:c>
    </x:row>
    <x:row r="385">
      <x:c r="F385" s="26"/>
      <x:c r="G385" s="26"/>
      <x:c r="I385" s="28" t="str">
        <x:f>IF($A385="","",IF(ISNUMBER($B385),TEXT($B385,"yyyy-mm"),LEFT($B385,7)))</x:f>
      </x:c>
      <x:c r="J385" s="29" t="str">
        <x:f>IF($A385="","",IF($H385="Completed",$E385*$F385,0))</x:f>
      </x:c>
      <x:c r="K385" s="29" t="str">
        <x:f>IF($A385="","",IF($H385="Completed",$E385*$G385,0))</x:f>
      </x:c>
      <x:c r="L385" s="29" t="str">
        <x:f>IF($A385="","",J385-K385)</x:f>
      </x:c>
    </x:row>
    <x:row r="386">
      <x:c r="F386" s="26"/>
      <x:c r="G386" s="26"/>
      <x:c r="I386" s="28" t="str">
        <x:f>IF($A386="","",IF(ISNUMBER($B386),TEXT($B386,"yyyy-mm"),LEFT($B386,7)))</x:f>
      </x:c>
      <x:c r="J386" s="29" t="str">
        <x:f>IF($A386="","",IF($H386="Completed",$E386*$F386,0))</x:f>
      </x:c>
      <x:c r="K386" s="29" t="str">
        <x:f>IF($A386="","",IF($H386="Completed",$E386*$G386,0))</x:f>
      </x:c>
      <x:c r="L386" s="29" t="str">
        <x:f>IF($A386="","",J386-K386)</x:f>
      </x:c>
    </x:row>
    <x:row r="387">
      <x:c r="F387" s="26"/>
      <x:c r="G387" s="26"/>
      <x:c r="I387" s="28" t="str">
        <x:f>IF($A387="","",IF(ISNUMBER($B387),TEXT($B387,"yyyy-mm"),LEFT($B387,7)))</x:f>
      </x:c>
      <x:c r="J387" s="29" t="str">
        <x:f>IF($A387="","",IF($H387="Completed",$E387*$F387,0))</x:f>
      </x:c>
      <x:c r="K387" s="29" t="str">
        <x:f>IF($A387="","",IF($H387="Completed",$E387*$G387,0))</x:f>
      </x:c>
      <x:c r="L387" s="29" t="str">
        <x:f>IF($A387="","",J387-K387)</x:f>
      </x:c>
    </x:row>
    <x:row r="388">
      <x:c r="F388" s="26"/>
      <x:c r="G388" s="26"/>
      <x:c r="I388" s="28" t="str">
        <x:f>IF($A388="","",IF(ISNUMBER($B388),TEXT($B388,"yyyy-mm"),LEFT($B388,7)))</x:f>
      </x:c>
      <x:c r="J388" s="29" t="str">
        <x:f>IF($A388="","",IF($H388="Completed",$E388*$F388,0))</x:f>
      </x:c>
      <x:c r="K388" s="29" t="str">
        <x:f>IF($A388="","",IF($H388="Completed",$E388*$G388,0))</x:f>
      </x:c>
      <x:c r="L388" s="29" t="str">
        <x:f>IF($A388="","",J388-K388)</x:f>
      </x:c>
    </x:row>
    <x:row r="389">
      <x:c r="F389" s="26"/>
      <x:c r="G389" s="26"/>
      <x:c r="I389" s="28" t="str">
        <x:f>IF($A389="","",IF(ISNUMBER($B389),TEXT($B389,"yyyy-mm"),LEFT($B389,7)))</x:f>
      </x:c>
      <x:c r="J389" s="29" t="str">
        <x:f>IF($A389="","",IF($H389="Completed",$E389*$F389,0))</x:f>
      </x:c>
      <x:c r="K389" s="29" t="str">
        <x:f>IF($A389="","",IF($H389="Completed",$E389*$G389,0))</x:f>
      </x:c>
      <x:c r="L389" s="29" t="str">
        <x:f>IF($A389="","",J389-K389)</x:f>
      </x:c>
    </x:row>
    <x:row r="390">
      <x:c r="F390" s="26"/>
      <x:c r="G390" s="26"/>
      <x:c r="I390" s="28" t="str">
        <x:f>IF($A390="","",IF(ISNUMBER($B390),TEXT($B390,"yyyy-mm"),LEFT($B390,7)))</x:f>
      </x:c>
      <x:c r="J390" s="29" t="str">
        <x:f>IF($A390="","",IF($H390="Completed",$E390*$F390,0))</x:f>
      </x:c>
      <x:c r="K390" s="29" t="str">
        <x:f>IF($A390="","",IF($H390="Completed",$E390*$G390,0))</x:f>
      </x:c>
      <x:c r="L390" s="29" t="str">
        <x:f>IF($A390="","",J390-K390)</x:f>
      </x:c>
    </x:row>
    <x:row r="391">
      <x:c r="F391" s="26"/>
      <x:c r="G391" s="26"/>
      <x:c r="I391" s="28" t="str">
        <x:f>IF($A391="","",IF(ISNUMBER($B391),TEXT($B391,"yyyy-mm"),LEFT($B391,7)))</x:f>
      </x:c>
      <x:c r="J391" s="29" t="str">
        <x:f>IF($A391="","",IF($H391="Completed",$E391*$F391,0))</x:f>
      </x:c>
      <x:c r="K391" s="29" t="str">
        <x:f>IF($A391="","",IF($H391="Completed",$E391*$G391,0))</x:f>
      </x:c>
      <x:c r="L391" s="29" t="str">
        <x:f>IF($A391="","",J391-K391)</x:f>
      </x:c>
    </x:row>
    <x:row r="392">
      <x:c r="F392" s="26"/>
      <x:c r="G392" s="26"/>
      <x:c r="I392" s="28" t="str">
        <x:f>IF($A392="","",IF(ISNUMBER($B392),TEXT($B392,"yyyy-mm"),LEFT($B392,7)))</x:f>
      </x:c>
      <x:c r="J392" s="29" t="str">
        <x:f>IF($A392="","",IF($H392="Completed",$E392*$F392,0))</x:f>
      </x:c>
      <x:c r="K392" s="29" t="str">
        <x:f>IF($A392="","",IF($H392="Completed",$E392*$G392,0))</x:f>
      </x:c>
      <x:c r="L392" s="29" t="str">
        <x:f>IF($A392="","",J392-K392)</x:f>
      </x:c>
    </x:row>
    <x:row r="393">
      <x:c r="F393" s="26"/>
      <x:c r="G393" s="26"/>
      <x:c r="I393" s="28" t="str">
        <x:f>IF($A393="","",IF(ISNUMBER($B393),TEXT($B393,"yyyy-mm"),LEFT($B393,7)))</x:f>
      </x:c>
      <x:c r="J393" s="29" t="str">
        <x:f>IF($A393="","",IF($H393="Completed",$E393*$F393,0))</x:f>
      </x:c>
      <x:c r="K393" s="29" t="str">
        <x:f>IF($A393="","",IF($H393="Completed",$E393*$G393,0))</x:f>
      </x:c>
      <x:c r="L393" s="29" t="str">
        <x:f>IF($A393="","",J393-K393)</x:f>
      </x:c>
    </x:row>
    <x:row r="394">
      <x:c r="F394" s="26"/>
      <x:c r="G394" s="26"/>
      <x:c r="I394" s="28" t="str">
        <x:f>IF($A394="","",IF(ISNUMBER($B394),TEXT($B394,"yyyy-mm"),LEFT($B394,7)))</x:f>
      </x:c>
      <x:c r="J394" s="29" t="str">
        <x:f>IF($A394="","",IF($H394="Completed",$E394*$F394,0))</x:f>
      </x:c>
      <x:c r="K394" s="29" t="str">
        <x:f>IF($A394="","",IF($H394="Completed",$E394*$G394,0))</x:f>
      </x:c>
      <x:c r="L394" s="29" t="str">
        <x:f>IF($A394="","",J394-K394)</x:f>
      </x:c>
    </x:row>
    <x:row r="395">
      <x:c r="F395" s="26"/>
      <x:c r="G395" s="26"/>
      <x:c r="I395" s="28" t="str">
        <x:f>IF($A395="","",IF(ISNUMBER($B395),TEXT($B395,"yyyy-mm"),LEFT($B395,7)))</x:f>
      </x:c>
      <x:c r="J395" s="29" t="str">
        <x:f>IF($A395="","",IF($H395="Completed",$E395*$F395,0))</x:f>
      </x:c>
      <x:c r="K395" s="29" t="str">
        <x:f>IF($A395="","",IF($H395="Completed",$E395*$G395,0))</x:f>
      </x:c>
      <x:c r="L395" s="29" t="str">
        <x:f>IF($A395="","",J395-K395)</x:f>
      </x:c>
    </x:row>
    <x:row r="396">
      <x:c r="F396" s="26"/>
      <x:c r="G396" s="26"/>
      <x:c r="I396" s="28" t="str">
        <x:f>IF($A396="","",IF(ISNUMBER($B396),TEXT($B396,"yyyy-mm"),LEFT($B396,7)))</x:f>
      </x:c>
      <x:c r="J396" s="29" t="str">
        <x:f>IF($A396="","",IF($H396="Completed",$E396*$F396,0))</x:f>
      </x:c>
      <x:c r="K396" s="29" t="str">
        <x:f>IF($A396="","",IF($H396="Completed",$E396*$G396,0))</x:f>
      </x:c>
      <x:c r="L396" s="29" t="str">
        <x:f>IF($A396="","",J396-K396)</x:f>
      </x:c>
    </x:row>
    <x:row r="397">
      <x:c r="F397" s="26"/>
      <x:c r="G397" s="26"/>
      <x:c r="I397" s="28" t="str">
        <x:f>IF($A397="","",IF(ISNUMBER($B397),TEXT($B397,"yyyy-mm"),LEFT($B397,7)))</x:f>
      </x:c>
      <x:c r="J397" s="29" t="str">
        <x:f>IF($A397="","",IF($H397="Completed",$E397*$F397,0))</x:f>
      </x:c>
      <x:c r="K397" s="29" t="str">
        <x:f>IF($A397="","",IF($H397="Completed",$E397*$G397,0))</x:f>
      </x:c>
      <x:c r="L397" s="29" t="str">
        <x:f>IF($A397="","",J397-K397)</x:f>
      </x:c>
    </x:row>
    <x:row r="398">
      <x:c r="F398" s="26"/>
      <x:c r="G398" s="26"/>
      <x:c r="I398" s="28" t="str">
        <x:f>IF($A398="","",IF(ISNUMBER($B398),TEXT($B398,"yyyy-mm"),LEFT($B398,7)))</x:f>
      </x:c>
      <x:c r="J398" s="29" t="str">
        <x:f>IF($A398="","",IF($H398="Completed",$E398*$F398,0))</x:f>
      </x:c>
      <x:c r="K398" s="29" t="str">
        <x:f>IF($A398="","",IF($H398="Completed",$E398*$G398,0))</x:f>
      </x:c>
      <x:c r="L398" s="29" t="str">
        <x:f>IF($A398="","",J398-K398)</x:f>
      </x:c>
    </x:row>
    <x:row r="399">
      <x:c r="F399" s="26"/>
      <x:c r="G399" s="26"/>
      <x:c r="I399" s="28" t="str">
        <x:f>IF($A399="","",IF(ISNUMBER($B399),TEXT($B399,"yyyy-mm"),LEFT($B399,7)))</x:f>
      </x:c>
      <x:c r="J399" s="29" t="str">
        <x:f>IF($A399="","",IF($H399="Completed",$E399*$F399,0))</x:f>
      </x:c>
      <x:c r="K399" s="29" t="str">
        <x:f>IF($A399="","",IF($H399="Completed",$E399*$G399,0))</x:f>
      </x:c>
      <x:c r="L399" s="29" t="str">
        <x:f>IF($A399="","",J399-K399)</x:f>
      </x:c>
    </x:row>
    <x:row r="400">
      <x:c r="F400" s="26"/>
      <x:c r="G400" s="26"/>
      <x:c r="I400" s="28" t="str">
        <x:f>IF($A400="","",IF(ISNUMBER($B400),TEXT($B400,"yyyy-mm"),LEFT($B400,7)))</x:f>
      </x:c>
      <x:c r="J400" s="29" t="str">
        <x:f>IF($A400="","",IF($H400="Completed",$E400*$F400,0))</x:f>
      </x:c>
      <x:c r="K400" s="29" t="str">
        <x:f>IF($A400="","",IF($H400="Completed",$E400*$G400,0))</x:f>
      </x:c>
      <x:c r="L400" s="29" t="str">
        <x:f>IF($A400="","",J400-K400)</x:f>
      </x:c>
    </x:row>
    <x:row r="401">
      <x:c r="F401" s="26"/>
      <x:c r="G401" s="26"/>
      <x:c r="I401" s="28" t="str">
        <x:f>IF($A401="","",IF(ISNUMBER($B401),TEXT($B401,"yyyy-mm"),LEFT($B401,7)))</x:f>
      </x:c>
      <x:c r="J401" s="29" t="str">
        <x:f>IF($A401="","",IF($H401="Completed",$E401*$F401,0))</x:f>
      </x:c>
      <x:c r="K401" s="29" t="str">
        <x:f>IF($A401="","",IF($H401="Completed",$E401*$G401,0))</x:f>
      </x:c>
      <x:c r="L401" s="29" t="str">
        <x:f>IF($A401="","",J401-K401)</x:f>
      </x:c>
    </x:row>
    <x:row r="402">
      <x:c r="F402" s="26"/>
      <x:c r="G402" s="26"/>
      <x:c r="I402" s="28" t="str">
        <x:f>IF($A402="","",IF(ISNUMBER($B402),TEXT($B402,"yyyy-mm"),LEFT($B402,7)))</x:f>
      </x:c>
      <x:c r="J402" s="29" t="str">
        <x:f>IF($A402="","",IF($H402="Completed",$E402*$F402,0))</x:f>
      </x:c>
      <x:c r="K402" s="29" t="str">
        <x:f>IF($A402="","",IF($H402="Completed",$E402*$G402,0))</x:f>
      </x:c>
      <x:c r="L402" s="29" t="str">
        <x:f>IF($A402="","",J402-K402)</x:f>
      </x:c>
    </x:row>
    <x:row r="403">
      <x:c r="F403" s="26"/>
      <x:c r="G403" s="26"/>
      <x:c r="I403" s="28" t="str">
        <x:f>IF($A403="","",IF(ISNUMBER($B403),TEXT($B403,"yyyy-mm"),LEFT($B403,7)))</x:f>
      </x:c>
      <x:c r="J403" s="29" t="str">
        <x:f>IF($A403="","",IF($H403="Completed",$E403*$F403,0))</x:f>
      </x:c>
      <x:c r="K403" s="29" t="str">
        <x:f>IF($A403="","",IF($H403="Completed",$E403*$G403,0))</x:f>
      </x:c>
      <x:c r="L403" s="29" t="str">
        <x:f>IF($A403="","",J403-K403)</x:f>
      </x:c>
    </x:row>
    <x:row r="404">
      <x:c r="F404" s="26"/>
      <x:c r="G404" s="26"/>
      <x:c r="I404" s="28" t="str">
        <x:f>IF($A404="","",IF(ISNUMBER($B404),TEXT($B404,"yyyy-mm"),LEFT($B404,7)))</x:f>
      </x:c>
      <x:c r="J404" s="29" t="str">
        <x:f>IF($A404="","",IF($H404="Completed",$E404*$F404,0))</x:f>
      </x:c>
      <x:c r="K404" s="29" t="str">
        <x:f>IF($A404="","",IF($H404="Completed",$E404*$G404,0))</x:f>
      </x:c>
      <x:c r="L404" s="29" t="str">
        <x:f>IF($A404="","",J404-K404)</x:f>
      </x:c>
    </x:row>
    <x:row r="405">
      <x:c r="F405" s="26"/>
      <x:c r="G405" s="26"/>
      <x:c r="I405" s="28" t="str">
        <x:f>IF($A405="","",IF(ISNUMBER($B405),TEXT($B405,"yyyy-mm"),LEFT($B405,7)))</x:f>
      </x:c>
      <x:c r="J405" s="29" t="str">
        <x:f>IF($A405="","",IF($H405="Completed",$E405*$F405,0))</x:f>
      </x:c>
      <x:c r="K405" s="29" t="str">
        <x:f>IF($A405="","",IF($H405="Completed",$E405*$G405,0))</x:f>
      </x:c>
      <x:c r="L405" s="29" t="str">
        <x:f>IF($A405="","",J405-K405)</x:f>
      </x:c>
    </x:row>
    <x:row r="406">
      <x:c r="F406" s="26"/>
      <x:c r="G406" s="26"/>
      <x:c r="I406" s="28" t="str">
        <x:f>IF($A406="","",IF(ISNUMBER($B406),TEXT($B406,"yyyy-mm"),LEFT($B406,7)))</x:f>
      </x:c>
      <x:c r="J406" s="29" t="str">
        <x:f>IF($A406="","",IF($H406="Completed",$E406*$F406,0))</x:f>
      </x:c>
      <x:c r="K406" s="29" t="str">
        <x:f>IF($A406="","",IF($H406="Completed",$E406*$G406,0))</x:f>
      </x:c>
      <x:c r="L406" s="29" t="str">
        <x:f>IF($A406="","",J406-K406)</x:f>
      </x:c>
    </x:row>
    <x:row r="407">
      <x:c r="F407" s="26"/>
      <x:c r="G407" s="26"/>
      <x:c r="I407" s="28" t="str">
        <x:f>IF($A407="","",IF(ISNUMBER($B407),TEXT($B407,"yyyy-mm"),LEFT($B407,7)))</x:f>
      </x:c>
      <x:c r="J407" s="29" t="str">
        <x:f>IF($A407="","",IF($H407="Completed",$E407*$F407,0))</x:f>
      </x:c>
      <x:c r="K407" s="29" t="str">
        <x:f>IF($A407="","",IF($H407="Completed",$E407*$G407,0))</x:f>
      </x:c>
      <x:c r="L407" s="29" t="str">
        <x:f>IF($A407="","",J407-K407)</x:f>
      </x:c>
    </x:row>
    <x:row r="408">
      <x:c r="F408" s="26"/>
      <x:c r="G408" s="26"/>
      <x:c r="I408" s="28" t="str">
        <x:f>IF($A408="","",IF(ISNUMBER($B408),TEXT($B408,"yyyy-mm"),LEFT($B408,7)))</x:f>
      </x:c>
      <x:c r="J408" s="29" t="str">
        <x:f>IF($A408="","",IF($H408="Completed",$E408*$F408,0))</x:f>
      </x:c>
      <x:c r="K408" s="29" t="str">
        <x:f>IF($A408="","",IF($H408="Completed",$E408*$G408,0))</x:f>
      </x:c>
      <x:c r="L408" s="29" t="str">
        <x:f>IF($A408="","",J408-K408)</x:f>
      </x:c>
    </x:row>
    <x:row r="409">
      <x:c r="F409" s="26"/>
      <x:c r="G409" s="26"/>
      <x:c r="I409" s="28" t="str">
        <x:f>IF($A409="","",IF(ISNUMBER($B409),TEXT($B409,"yyyy-mm"),LEFT($B409,7)))</x:f>
      </x:c>
      <x:c r="J409" s="29" t="str">
        <x:f>IF($A409="","",IF($H409="Completed",$E409*$F409,0))</x:f>
      </x:c>
      <x:c r="K409" s="29" t="str">
        <x:f>IF($A409="","",IF($H409="Completed",$E409*$G409,0))</x:f>
      </x:c>
      <x:c r="L409" s="29" t="str">
        <x:f>IF($A409="","",J409-K409)</x:f>
      </x:c>
    </x:row>
    <x:row r="410">
      <x:c r="F410" s="26"/>
      <x:c r="G410" s="26"/>
      <x:c r="I410" s="28" t="str">
        <x:f>IF($A410="","",IF(ISNUMBER($B410),TEXT($B410,"yyyy-mm"),LEFT($B410,7)))</x:f>
      </x:c>
      <x:c r="J410" s="29" t="str">
        <x:f>IF($A410="","",IF($H410="Completed",$E410*$F410,0))</x:f>
      </x:c>
      <x:c r="K410" s="29" t="str">
        <x:f>IF($A410="","",IF($H410="Completed",$E410*$G410,0))</x:f>
      </x:c>
      <x:c r="L410" s="29" t="str">
        <x:f>IF($A410="","",J410-K410)</x:f>
      </x:c>
    </x:row>
    <x:row r="411">
      <x:c r="F411" s="26"/>
      <x:c r="G411" s="26"/>
      <x:c r="I411" s="28" t="str">
        <x:f>IF($A411="","",IF(ISNUMBER($B411),TEXT($B411,"yyyy-mm"),LEFT($B411,7)))</x:f>
      </x:c>
      <x:c r="J411" s="29" t="str">
        <x:f>IF($A411="","",IF($H411="Completed",$E411*$F411,0))</x:f>
      </x:c>
      <x:c r="K411" s="29" t="str">
        <x:f>IF($A411="","",IF($H411="Completed",$E411*$G411,0))</x:f>
      </x:c>
      <x:c r="L411" s="29" t="str">
        <x:f>IF($A411="","",J411-K411)</x:f>
      </x:c>
    </x:row>
    <x:row r="412">
      <x:c r="F412" s="26"/>
      <x:c r="G412" s="26"/>
      <x:c r="I412" s="28" t="str">
        <x:f>IF($A412="","",IF(ISNUMBER($B412),TEXT($B412,"yyyy-mm"),LEFT($B412,7)))</x:f>
      </x:c>
      <x:c r="J412" s="29" t="str">
        <x:f>IF($A412="","",IF($H412="Completed",$E412*$F412,0))</x:f>
      </x:c>
      <x:c r="K412" s="29" t="str">
        <x:f>IF($A412="","",IF($H412="Completed",$E412*$G412,0))</x:f>
      </x:c>
      <x:c r="L412" s="29" t="str">
        <x:f>IF($A412="","",J412-K412)</x:f>
      </x:c>
    </x:row>
    <x:row r="413">
      <x:c r="F413" s="26"/>
      <x:c r="G413" s="26"/>
      <x:c r="I413" s="28" t="str">
        <x:f>IF($A413="","",IF(ISNUMBER($B413),TEXT($B413,"yyyy-mm"),LEFT($B413,7)))</x:f>
      </x:c>
      <x:c r="J413" s="29" t="str">
        <x:f>IF($A413="","",IF($H413="Completed",$E413*$F413,0))</x:f>
      </x:c>
      <x:c r="K413" s="29" t="str">
        <x:f>IF($A413="","",IF($H413="Completed",$E413*$G413,0))</x:f>
      </x:c>
      <x:c r="L413" s="29" t="str">
        <x:f>IF($A413="","",J413-K413)</x:f>
      </x:c>
    </x:row>
    <x:row r="414">
      <x:c r="F414" s="26"/>
      <x:c r="G414" s="26"/>
      <x:c r="I414" s="28" t="str">
        <x:f>IF($A414="","",IF(ISNUMBER($B414),TEXT($B414,"yyyy-mm"),LEFT($B414,7)))</x:f>
      </x:c>
      <x:c r="J414" s="29" t="str">
        <x:f>IF($A414="","",IF($H414="Completed",$E414*$F414,0))</x:f>
      </x:c>
      <x:c r="K414" s="29" t="str">
        <x:f>IF($A414="","",IF($H414="Completed",$E414*$G414,0))</x:f>
      </x:c>
      <x:c r="L414" s="29" t="str">
        <x:f>IF($A414="","",J414-K414)</x:f>
      </x:c>
    </x:row>
    <x:row r="415">
      <x:c r="F415" s="26"/>
      <x:c r="G415" s="26"/>
      <x:c r="I415" s="28" t="str">
        <x:f>IF($A415="","",IF(ISNUMBER($B415),TEXT($B415,"yyyy-mm"),LEFT($B415,7)))</x:f>
      </x:c>
      <x:c r="J415" s="29" t="str">
        <x:f>IF($A415="","",IF($H415="Completed",$E415*$F415,0))</x:f>
      </x:c>
      <x:c r="K415" s="29" t="str">
        <x:f>IF($A415="","",IF($H415="Completed",$E415*$G415,0))</x:f>
      </x:c>
      <x:c r="L415" s="29" t="str">
        <x:f>IF($A415="","",J415-K415)</x:f>
      </x:c>
    </x:row>
    <x:row r="416">
      <x:c r="F416" s="26"/>
      <x:c r="G416" s="26"/>
      <x:c r="I416" s="28" t="str">
        <x:f>IF($A416="","",IF(ISNUMBER($B416),TEXT($B416,"yyyy-mm"),LEFT($B416,7)))</x:f>
      </x:c>
      <x:c r="J416" s="29" t="str">
        <x:f>IF($A416="","",IF($H416="Completed",$E416*$F416,0))</x:f>
      </x:c>
      <x:c r="K416" s="29" t="str">
        <x:f>IF($A416="","",IF($H416="Completed",$E416*$G416,0))</x:f>
      </x:c>
      <x:c r="L416" s="29" t="str">
        <x:f>IF($A416="","",J416-K416)</x:f>
      </x:c>
    </x:row>
    <x:row r="417">
      <x:c r="F417" s="26"/>
      <x:c r="G417" s="26"/>
      <x:c r="I417" s="28" t="str">
        <x:f>IF($A417="","",IF(ISNUMBER($B417),TEXT($B417,"yyyy-mm"),LEFT($B417,7)))</x:f>
      </x:c>
      <x:c r="J417" s="29" t="str">
        <x:f>IF($A417="","",IF($H417="Completed",$E417*$F417,0))</x:f>
      </x:c>
      <x:c r="K417" s="29" t="str">
        <x:f>IF($A417="","",IF($H417="Completed",$E417*$G417,0))</x:f>
      </x:c>
      <x:c r="L417" s="29" t="str">
        <x:f>IF($A417="","",J417-K417)</x:f>
      </x:c>
    </x:row>
    <x:row r="418">
      <x:c r="F418" s="26"/>
      <x:c r="G418" s="26"/>
      <x:c r="I418" s="28" t="str">
        <x:f>IF($A418="","",IF(ISNUMBER($B418),TEXT($B418,"yyyy-mm"),LEFT($B418,7)))</x:f>
      </x:c>
      <x:c r="J418" s="29" t="str">
        <x:f>IF($A418="","",IF($H418="Completed",$E418*$F418,0))</x:f>
      </x:c>
      <x:c r="K418" s="29" t="str">
        <x:f>IF($A418="","",IF($H418="Completed",$E418*$G418,0))</x:f>
      </x:c>
      <x:c r="L418" s="29" t="str">
        <x:f>IF($A418="","",J418-K418)</x:f>
      </x:c>
    </x:row>
    <x:row r="419">
      <x:c r="F419" s="26"/>
      <x:c r="G419" s="26"/>
      <x:c r="I419" s="28" t="str">
        <x:f>IF($A419="","",IF(ISNUMBER($B419),TEXT($B419,"yyyy-mm"),LEFT($B419,7)))</x:f>
      </x:c>
      <x:c r="J419" s="29" t="str">
        <x:f>IF($A419="","",IF($H419="Completed",$E419*$F419,0))</x:f>
      </x:c>
      <x:c r="K419" s="29" t="str">
        <x:f>IF($A419="","",IF($H419="Completed",$E419*$G419,0))</x:f>
      </x:c>
      <x:c r="L419" s="29" t="str">
        <x:f>IF($A419="","",J419-K419)</x:f>
      </x:c>
    </x:row>
    <x:row r="420">
      <x:c r="F420" s="26"/>
      <x:c r="G420" s="26"/>
      <x:c r="I420" s="28" t="str">
        <x:f>IF($A420="","",IF(ISNUMBER($B420),TEXT($B420,"yyyy-mm"),LEFT($B420,7)))</x:f>
      </x:c>
      <x:c r="J420" s="29" t="str">
        <x:f>IF($A420="","",IF($H420="Completed",$E420*$F420,0))</x:f>
      </x:c>
      <x:c r="K420" s="29" t="str">
        <x:f>IF($A420="","",IF($H420="Completed",$E420*$G420,0))</x:f>
      </x:c>
      <x:c r="L420" s="29" t="str">
        <x:f>IF($A420="","",J420-K420)</x:f>
      </x:c>
    </x:row>
    <x:row r="421">
      <x:c r="F421" s="26"/>
      <x:c r="G421" s="26"/>
      <x:c r="I421" s="28" t="str">
        <x:f>IF($A421="","",IF(ISNUMBER($B421),TEXT($B421,"yyyy-mm"),LEFT($B421,7)))</x:f>
      </x:c>
      <x:c r="J421" s="29" t="str">
        <x:f>IF($A421="","",IF($H421="Completed",$E421*$F421,0))</x:f>
      </x:c>
      <x:c r="K421" s="29" t="str">
        <x:f>IF($A421="","",IF($H421="Completed",$E421*$G421,0))</x:f>
      </x:c>
      <x:c r="L421" s="29" t="str">
        <x:f>IF($A421="","",J421-K421)</x:f>
      </x:c>
    </x:row>
    <x:row r="422">
      <x:c r="F422" s="26"/>
      <x:c r="G422" s="26"/>
      <x:c r="I422" s="28" t="str">
        <x:f>IF($A422="","",IF(ISNUMBER($B422),TEXT($B422,"yyyy-mm"),LEFT($B422,7)))</x:f>
      </x:c>
      <x:c r="J422" s="29" t="str">
        <x:f>IF($A422="","",IF($H422="Completed",$E422*$F422,0))</x:f>
      </x:c>
      <x:c r="K422" s="29" t="str">
        <x:f>IF($A422="","",IF($H422="Completed",$E422*$G422,0))</x:f>
      </x:c>
      <x:c r="L422" s="29" t="str">
        <x:f>IF($A422="","",J422-K422)</x:f>
      </x:c>
    </x:row>
    <x:row r="423">
      <x:c r="F423" s="26"/>
      <x:c r="G423" s="26"/>
      <x:c r="I423" s="28" t="str">
        <x:f>IF($A423="","",IF(ISNUMBER($B423),TEXT($B423,"yyyy-mm"),LEFT($B423,7)))</x:f>
      </x:c>
      <x:c r="J423" s="29" t="str">
        <x:f>IF($A423="","",IF($H423="Completed",$E423*$F423,0))</x:f>
      </x:c>
      <x:c r="K423" s="29" t="str">
        <x:f>IF($A423="","",IF($H423="Completed",$E423*$G423,0))</x:f>
      </x:c>
      <x:c r="L423" s="29" t="str">
        <x:f>IF($A423="","",J423-K423)</x:f>
      </x:c>
    </x:row>
    <x:row r="424">
      <x:c r="F424" s="26"/>
      <x:c r="G424" s="26"/>
      <x:c r="I424" s="28" t="str">
        <x:f>IF($A424="","",IF(ISNUMBER($B424),TEXT($B424,"yyyy-mm"),LEFT($B424,7)))</x:f>
      </x:c>
      <x:c r="J424" s="29" t="str">
        <x:f>IF($A424="","",IF($H424="Completed",$E424*$F424,0))</x:f>
      </x:c>
      <x:c r="K424" s="29" t="str">
        <x:f>IF($A424="","",IF($H424="Completed",$E424*$G424,0))</x:f>
      </x:c>
      <x:c r="L424" s="29" t="str">
        <x:f>IF($A424="","",J424-K424)</x:f>
      </x:c>
    </x:row>
    <x:row r="425">
      <x:c r="F425" s="26"/>
      <x:c r="G425" s="26"/>
      <x:c r="I425" s="28" t="str">
        <x:f>IF($A425="","",IF(ISNUMBER($B425),TEXT($B425,"yyyy-mm"),LEFT($B425,7)))</x:f>
      </x:c>
      <x:c r="J425" s="29" t="str">
        <x:f>IF($A425="","",IF($H425="Completed",$E425*$F425,0))</x:f>
      </x:c>
      <x:c r="K425" s="29" t="str">
        <x:f>IF($A425="","",IF($H425="Completed",$E425*$G425,0))</x:f>
      </x:c>
      <x:c r="L425" s="29" t="str">
        <x:f>IF($A425="","",J425-K425)</x:f>
      </x:c>
    </x:row>
    <x:row r="426">
      <x:c r="F426" s="26"/>
      <x:c r="G426" s="26"/>
      <x:c r="I426" s="28" t="str">
        <x:f>IF($A426="","",IF(ISNUMBER($B426),TEXT($B426,"yyyy-mm"),LEFT($B426,7)))</x:f>
      </x:c>
      <x:c r="J426" s="29" t="str">
        <x:f>IF($A426="","",IF($H426="Completed",$E426*$F426,0))</x:f>
      </x:c>
      <x:c r="K426" s="29" t="str">
        <x:f>IF($A426="","",IF($H426="Completed",$E426*$G426,0))</x:f>
      </x:c>
      <x:c r="L426" s="29" t="str">
        <x:f>IF($A426="","",J426-K426)</x:f>
      </x:c>
    </x:row>
    <x:row r="427">
      <x:c r="F427" s="26"/>
      <x:c r="G427" s="26"/>
      <x:c r="I427" s="28" t="str">
        <x:f>IF($A427="","",IF(ISNUMBER($B427),TEXT($B427,"yyyy-mm"),LEFT($B427,7)))</x:f>
      </x:c>
      <x:c r="J427" s="29" t="str">
        <x:f>IF($A427="","",IF($H427="Completed",$E427*$F427,0))</x:f>
      </x:c>
      <x:c r="K427" s="29" t="str">
        <x:f>IF($A427="","",IF($H427="Completed",$E427*$G427,0))</x:f>
      </x:c>
      <x:c r="L427" s="29" t="str">
        <x:f>IF($A427="","",J427-K427)</x:f>
      </x:c>
    </x:row>
    <x:row r="428">
      <x:c r="F428" s="26"/>
      <x:c r="G428" s="26"/>
      <x:c r="I428" s="28" t="str">
        <x:f>IF($A428="","",IF(ISNUMBER($B428),TEXT($B428,"yyyy-mm"),LEFT($B428,7)))</x:f>
      </x:c>
      <x:c r="J428" s="29" t="str">
        <x:f>IF($A428="","",IF($H428="Completed",$E428*$F428,0))</x:f>
      </x:c>
      <x:c r="K428" s="29" t="str">
        <x:f>IF($A428="","",IF($H428="Completed",$E428*$G428,0))</x:f>
      </x:c>
      <x:c r="L428" s="29" t="str">
        <x:f>IF($A428="","",J428-K428)</x:f>
      </x:c>
    </x:row>
    <x:row r="429">
      <x:c r="F429" s="26"/>
      <x:c r="G429" s="26"/>
      <x:c r="I429" s="28" t="str">
        <x:f>IF($A429="","",IF(ISNUMBER($B429),TEXT($B429,"yyyy-mm"),LEFT($B429,7)))</x:f>
      </x:c>
      <x:c r="J429" s="29" t="str">
        <x:f>IF($A429="","",IF($H429="Completed",$E429*$F429,0))</x:f>
      </x:c>
      <x:c r="K429" s="29" t="str">
        <x:f>IF($A429="","",IF($H429="Completed",$E429*$G429,0))</x:f>
      </x:c>
      <x:c r="L429" s="29" t="str">
        <x:f>IF($A429="","",J429-K429)</x:f>
      </x:c>
    </x:row>
    <x:row r="430">
      <x:c r="F430" s="26"/>
      <x:c r="G430" s="26"/>
      <x:c r="I430" s="28" t="str">
        <x:f>IF($A430="","",IF(ISNUMBER($B430),TEXT($B430,"yyyy-mm"),LEFT($B430,7)))</x:f>
      </x:c>
      <x:c r="J430" s="29" t="str">
        <x:f>IF($A430="","",IF($H430="Completed",$E430*$F430,0))</x:f>
      </x:c>
      <x:c r="K430" s="29" t="str">
        <x:f>IF($A430="","",IF($H430="Completed",$E430*$G430,0))</x:f>
      </x:c>
      <x:c r="L430" s="29" t="str">
        <x:f>IF($A430="","",J430-K430)</x:f>
      </x:c>
    </x:row>
    <x:row r="431">
      <x:c r="F431" s="26"/>
      <x:c r="G431" s="26"/>
      <x:c r="I431" s="28" t="str">
        <x:f>IF($A431="","",IF(ISNUMBER($B431),TEXT($B431,"yyyy-mm"),LEFT($B431,7)))</x:f>
      </x:c>
      <x:c r="J431" s="29" t="str">
        <x:f>IF($A431="","",IF($H431="Completed",$E431*$F431,0))</x:f>
      </x:c>
      <x:c r="K431" s="29" t="str">
        <x:f>IF($A431="","",IF($H431="Completed",$E431*$G431,0))</x:f>
      </x:c>
      <x:c r="L431" s="29" t="str">
        <x:f>IF($A431="","",J431-K431)</x:f>
      </x:c>
    </x:row>
    <x:row r="432">
      <x:c r="F432" s="26"/>
      <x:c r="G432" s="26"/>
      <x:c r="I432" s="28" t="str">
        <x:f>IF($A432="","",IF(ISNUMBER($B432),TEXT($B432,"yyyy-mm"),LEFT($B432,7)))</x:f>
      </x:c>
      <x:c r="J432" s="29" t="str">
        <x:f>IF($A432="","",IF($H432="Completed",$E432*$F432,0))</x:f>
      </x:c>
      <x:c r="K432" s="29" t="str">
        <x:f>IF($A432="","",IF($H432="Completed",$E432*$G432,0))</x:f>
      </x:c>
      <x:c r="L432" s="29" t="str">
        <x:f>IF($A432="","",J432-K432)</x:f>
      </x:c>
    </x:row>
    <x:row r="433">
      <x:c r="F433" s="26"/>
      <x:c r="G433" s="26"/>
      <x:c r="I433" s="28" t="str">
        <x:f>IF($A433="","",IF(ISNUMBER($B433),TEXT($B433,"yyyy-mm"),LEFT($B433,7)))</x:f>
      </x:c>
      <x:c r="J433" s="29" t="str">
        <x:f>IF($A433="","",IF($H433="Completed",$E433*$F433,0))</x:f>
      </x:c>
      <x:c r="K433" s="29" t="str">
        <x:f>IF($A433="","",IF($H433="Completed",$E433*$G433,0))</x:f>
      </x:c>
      <x:c r="L433" s="29" t="str">
        <x:f>IF($A433="","",J433-K433)</x:f>
      </x:c>
    </x:row>
    <x:row r="434">
      <x:c r="F434" s="26"/>
      <x:c r="G434" s="26"/>
      <x:c r="I434" s="28" t="str">
        <x:f>IF($A434="","",IF(ISNUMBER($B434),TEXT($B434,"yyyy-mm"),LEFT($B434,7)))</x:f>
      </x:c>
      <x:c r="J434" s="29" t="str">
        <x:f>IF($A434="","",IF($H434="Completed",$E434*$F434,0))</x:f>
      </x:c>
      <x:c r="K434" s="29" t="str">
        <x:f>IF($A434="","",IF($H434="Completed",$E434*$G434,0))</x:f>
      </x:c>
      <x:c r="L434" s="29" t="str">
        <x:f>IF($A434="","",J434-K434)</x:f>
      </x:c>
    </x:row>
    <x:row r="435">
      <x:c r="F435" s="26"/>
      <x:c r="G435" s="26"/>
      <x:c r="I435" s="28" t="str">
        <x:f>IF($A435="","",IF(ISNUMBER($B435),TEXT($B435,"yyyy-mm"),LEFT($B435,7)))</x:f>
      </x:c>
      <x:c r="J435" s="29" t="str">
        <x:f>IF($A435="","",IF($H435="Completed",$E435*$F435,0))</x:f>
      </x:c>
      <x:c r="K435" s="29" t="str">
        <x:f>IF($A435="","",IF($H435="Completed",$E435*$G435,0))</x:f>
      </x:c>
      <x:c r="L435" s="29" t="str">
        <x:f>IF($A435="","",J435-K435)</x:f>
      </x:c>
    </x:row>
    <x:row r="436">
      <x:c r="F436" s="26"/>
      <x:c r="G436" s="26"/>
      <x:c r="I436" s="28" t="str">
        <x:f>IF($A436="","",IF(ISNUMBER($B436),TEXT($B436,"yyyy-mm"),LEFT($B436,7)))</x:f>
      </x:c>
      <x:c r="J436" s="29" t="str">
        <x:f>IF($A436="","",IF($H436="Completed",$E436*$F436,0))</x:f>
      </x:c>
      <x:c r="K436" s="29" t="str">
        <x:f>IF($A436="","",IF($H436="Completed",$E436*$G436,0))</x:f>
      </x:c>
      <x:c r="L436" s="29" t="str">
        <x:f>IF($A436="","",J436-K436)</x:f>
      </x:c>
    </x:row>
    <x:row r="437">
      <x:c r="F437" s="26"/>
      <x:c r="G437" s="26"/>
      <x:c r="I437" s="28" t="str">
        <x:f>IF($A437="","",IF(ISNUMBER($B437),TEXT($B437,"yyyy-mm"),LEFT($B437,7)))</x:f>
      </x:c>
      <x:c r="J437" s="29" t="str">
        <x:f>IF($A437="","",IF($H437="Completed",$E437*$F437,0))</x:f>
      </x:c>
      <x:c r="K437" s="29" t="str">
        <x:f>IF($A437="","",IF($H437="Completed",$E437*$G437,0))</x:f>
      </x:c>
      <x:c r="L437" s="29" t="str">
        <x:f>IF($A437="","",J437-K437)</x:f>
      </x:c>
    </x:row>
    <x:row r="438">
      <x:c r="F438" s="26"/>
      <x:c r="G438" s="26"/>
      <x:c r="I438" s="28" t="str">
        <x:f>IF($A438="","",IF(ISNUMBER($B438),TEXT($B438,"yyyy-mm"),LEFT($B438,7)))</x:f>
      </x:c>
      <x:c r="J438" s="29" t="str">
        <x:f>IF($A438="","",IF($H438="Completed",$E438*$F438,0))</x:f>
      </x:c>
      <x:c r="K438" s="29" t="str">
        <x:f>IF($A438="","",IF($H438="Completed",$E438*$G438,0))</x:f>
      </x:c>
      <x:c r="L438" s="29" t="str">
        <x:f>IF($A438="","",J438-K438)</x:f>
      </x:c>
    </x:row>
    <x:row r="439">
      <x:c r="F439" s="26"/>
      <x:c r="G439" s="26"/>
      <x:c r="I439" s="28" t="str">
        <x:f>IF($A439="","",IF(ISNUMBER($B439),TEXT($B439,"yyyy-mm"),LEFT($B439,7)))</x:f>
      </x:c>
      <x:c r="J439" s="29" t="str">
        <x:f>IF($A439="","",IF($H439="Completed",$E439*$F439,0))</x:f>
      </x:c>
      <x:c r="K439" s="29" t="str">
        <x:f>IF($A439="","",IF($H439="Completed",$E439*$G439,0))</x:f>
      </x:c>
      <x:c r="L439" s="29" t="str">
        <x:f>IF($A439="","",J439-K439)</x:f>
      </x:c>
    </x:row>
    <x:row r="440">
      <x:c r="F440" s="26"/>
      <x:c r="G440" s="26"/>
      <x:c r="I440" s="28" t="str">
        <x:f>IF($A440="","",IF(ISNUMBER($B440),TEXT($B440,"yyyy-mm"),LEFT($B440,7)))</x:f>
      </x:c>
      <x:c r="J440" s="29" t="str">
        <x:f>IF($A440="","",IF($H440="Completed",$E440*$F440,0))</x:f>
      </x:c>
      <x:c r="K440" s="29" t="str">
        <x:f>IF($A440="","",IF($H440="Completed",$E440*$G440,0))</x:f>
      </x:c>
      <x:c r="L440" s="29" t="str">
        <x:f>IF($A440="","",J440-K440)</x:f>
      </x:c>
    </x:row>
    <x:row r="441">
      <x:c r="F441" s="26"/>
      <x:c r="G441" s="26"/>
      <x:c r="I441" s="28" t="str">
        <x:f>IF($A441="","",IF(ISNUMBER($B441),TEXT($B441,"yyyy-mm"),LEFT($B441,7)))</x:f>
      </x:c>
      <x:c r="J441" s="29" t="str">
        <x:f>IF($A441="","",IF($H441="Completed",$E441*$F441,0))</x:f>
      </x:c>
      <x:c r="K441" s="29" t="str">
        <x:f>IF($A441="","",IF($H441="Completed",$E441*$G441,0))</x:f>
      </x:c>
      <x:c r="L441" s="29" t="str">
        <x:f>IF($A441="","",J441-K441)</x:f>
      </x:c>
    </x:row>
    <x:row r="442">
      <x:c r="F442" s="26"/>
      <x:c r="G442" s="26"/>
      <x:c r="I442" s="28" t="str">
        <x:f>IF($A442="","",IF(ISNUMBER($B442),TEXT($B442,"yyyy-mm"),LEFT($B442,7)))</x:f>
      </x:c>
      <x:c r="J442" s="29" t="str">
        <x:f>IF($A442="","",IF($H442="Completed",$E442*$F442,0))</x:f>
      </x:c>
      <x:c r="K442" s="29" t="str">
        <x:f>IF($A442="","",IF($H442="Completed",$E442*$G442,0))</x:f>
      </x:c>
      <x:c r="L442" s="29" t="str">
        <x:f>IF($A442="","",J442-K442)</x:f>
      </x:c>
    </x:row>
    <x:row r="443">
      <x:c r="F443" s="26"/>
      <x:c r="G443" s="26"/>
      <x:c r="I443" s="28" t="str">
        <x:f>IF($A443="","",IF(ISNUMBER($B443),TEXT($B443,"yyyy-mm"),LEFT($B443,7)))</x:f>
      </x:c>
      <x:c r="J443" s="29" t="str">
        <x:f>IF($A443="","",IF($H443="Completed",$E443*$F443,0))</x:f>
      </x:c>
      <x:c r="K443" s="29" t="str">
        <x:f>IF($A443="","",IF($H443="Completed",$E443*$G443,0))</x:f>
      </x:c>
      <x:c r="L443" s="29" t="str">
        <x:f>IF($A443="","",J443-K443)</x:f>
      </x:c>
    </x:row>
    <x:row r="444">
      <x:c r="F444" s="26"/>
      <x:c r="G444" s="26"/>
      <x:c r="I444" s="28" t="str">
        <x:f>IF($A444="","",IF(ISNUMBER($B444),TEXT($B444,"yyyy-mm"),LEFT($B444,7)))</x:f>
      </x:c>
      <x:c r="J444" s="29" t="str">
        <x:f>IF($A444="","",IF($H444="Completed",$E444*$F444,0))</x:f>
      </x:c>
      <x:c r="K444" s="29" t="str">
        <x:f>IF($A444="","",IF($H444="Completed",$E444*$G444,0))</x:f>
      </x:c>
      <x:c r="L444" s="29" t="str">
        <x:f>IF($A444="","",J444-K444)</x:f>
      </x:c>
    </x:row>
    <x:row r="445">
      <x:c r="F445" s="26"/>
      <x:c r="G445" s="26"/>
      <x:c r="I445" s="28" t="str">
        <x:f>IF($A445="","",IF(ISNUMBER($B445),TEXT($B445,"yyyy-mm"),LEFT($B445,7)))</x:f>
      </x:c>
      <x:c r="J445" s="29" t="str">
        <x:f>IF($A445="","",IF($H445="Completed",$E445*$F445,0))</x:f>
      </x:c>
      <x:c r="K445" s="29" t="str">
        <x:f>IF($A445="","",IF($H445="Completed",$E445*$G445,0))</x:f>
      </x:c>
      <x:c r="L445" s="29" t="str">
        <x:f>IF($A445="","",J445-K445)</x:f>
      </x:c>
    </x:row>
    <x:row r="446">
      <x:c r="F446" s="26"/>
      <x:c r="G446" s="26"/>
      <x:c r="I446" s="28" t="str">
        <x:f>IF($A446="","",IF(ISNUMBER($B446),TEXT($B446,"yyyy-mm"),LEFT($B446,7)))</x:f>
      </x:c>
      <x:c r="J446" s="29" t="str">
        <x:f>IF($A446="","",IF($H446="Completed",$E446*$F446,0))</x:f>
      </x:c>
      <x:c r="K446" s="29" t="str">
        <x:f>IF($A446="","",IF($H446="Completed",$E446*$G446,0))</x:f>
      </x:c>
      <x:c r="L446" s="29" t="str">
        <x:f>IF($A446="","",J446-K446)</x:f>
      </x:c>
    </x:row>
    <x:row r="447">
      <x:c r="F447" s="26"/>
      <x:c r="G447" s="26"/>
      <x:c r="I447" s="28" t="str">
        <x:f>IF($A447="","",IF(ISNUMBER($B447),TEXT($B447,"yyyy-mm"),LEFT($B447,7)))</x:f>
      </x:c>
      <x:c r="J447" s="29" t="str">
        <x:f>IF($A447="","",IF($H447="Completed",$E447*$F447,0))</x:f>
      </x:c>
      <x:c r="K447" s="29" t="str">
        <x:f>IF($A447="","",IF($H447="Completed",$E447*$G447,0))</x:f>
      </x:c>
      <x:c r="L447" s="29" t="str">
        <x:f>IF($A447="","",J447-K447)</x:f>
      </x:c>
    </x:row>
    <x:row r="448">
      <x:c r="F448" s="26"/>
      <x:c r="G448" s="26"/>
      <x:c r="I448" s="28" t="str">
        <x:f>IF($A448="","",IF(ISNUMBER($B448),TEXT($B448,"yyyy-mm"),LEFT($B448,7)))</x:f>
      </x:c>
      <x:c r="J448" s="29" t="str">
        <x:f>IF($A448="","",IF($H448="Completed",$E448*$F448,0))</x:f>
      </x:c>
      <x:c r="K448" s="29" t="str">
        <x:f>IF($A448="","",IF($H448="Completed",$E448*$G448,0))</x:f>
      </x:c>
      <x:c r="L448" s="29" t="str">
        <x:f>IF($A448="","",J448-K448)</x:f>
      </x:c>
    </x:row>
    <x:row r="449">
      <x:c r="F449" s="26"/>
      <x:c r="G449" s="26"/>
      <x:c r="I449" s="28" t="str">
        <x:f>IF($A449="","",IF(ISNUMBER($B449),TEXT($B449,"yyyy-mm"),LEFT($B449,7)))</x:f>
      </x:c>
      <x:c r="J449" s="29" t="str">
        <x:f>IF($A449="","",IF($H449="Completed",$E449*$F449,0))</x:f>
      </x:c>
      <x:c r="K449" s="29" t="str">
        <x:f>IF($A449="","",IF($H449="Completed",$E449*$G449,0))</x:f>
      </x:c>
      <x:c r="L449" s="29" t="str">
        <x:f>IF($A449="","",J449-K449)</x:f>
      </x:c>
    </x:row>
    <x:row r="450">
      <x:c r="F450" s="26"/>
      <x:c r="G450" s="26"/>
      <x:c r="I450" s="28" t="str">
        <x:f>IF($A450="","",IF(ISNUMBER($B450),TEXT($B450,"yyyy-mm"),LEFT($B450,7)))</x:f>
      </x:c>
      <x:c r="J450" s="29" t="str">
        <x:f>IF($A450="","",IF($H450="Completed",$E450*$F450,0))</x:f>
      </x:c>
      <x:c r="K450" s="29" t="str">
        <x:f>IF($A450="","",IF($H450="Completed",$E450*$G450,0))</x:f>
      </x:c>
      <x:c r="L450" s="29" t="str">
        <x:f>IF($A450="","",J450-K450)</x:f>
      </x:c>
    </x:row>
    <x:row r="451">
      <x:c r="F451" s="26"/>
      <x:c r="G451" s="26"/>
      <x:c r="I451" s="28" t="str">
        <x:f>IF($A451="","",IF(ISNUMBER($B451),TEXT($B451,"yyyy-mm"),LEFT($B451,7)))</x:f>
      </x:c>
      <x:c r="J451" s="29" t="str">
        <x:f>IF($A451="","",IF($H451="Completed",$E451*$F451,0))</x:f>
      </x:c>
      <x:c r="K451" s="29" t="str">
        <x:f>IF($A451="","",IF($H451="Completed",$E451*$G451,0))</x:f>
      </x:c>
      <x:c r="L451" s="29" t="str">
        <x:f>IF($A451="","",J451-K451)</x:f>
      </x:c>
    </x:row>
    <x:row r="452">
      <x:c r="F452" s="26"/>
      <x:c r="G452" s="26"/>
      <x:c r="I452" s="28" t="str">
        <x:f>IF($A452="","",IF(ISNUMBER($B452),TEXT($B452,"yyyy-mm"),LEFT($B452,7)))</x:f>
      </x:c>
      <x:c r="J452" s="29" t="str">
        <x:f>IF($A452="","",IF($H452="Completed",$E452*$F452,0))</x:f>
      </x:c>
      <x:c r="K452" s="29" t="str">
        <x:f>IF($A452="","",IF($H452="Completed",$E452*$G452,0))</x:f>
      </x:c>
      <x:c r="L452" s="29" t="str">
        <x:f>IF($A452="","",J452-K452)</x:f>
      </x:c>
    </x:row>
    <x:row r="453">
      <x:c r="F453" s="26"/>
      <x:c r="G453" s="26"/>
      <x:c r="I453" s="28" t="str">
        <x:f>IF($A453="","",IF(ISNUMBER($B453),TEXT($B453,"yyyy-mm"),LEFT($B453,7)))</x:f>
      </x:c>
      <x:c r="J453" s="29" t="str">
        <x:f>IF($A453="","",IF($H453="Completed",$E453*$F453,0))</x:f>
      </x:c>
      <x:c r="K453" s="29" t="str">
        <x:f>IF($A453="","",IF($H453="Completed",$E453*$G453,0))</x:f>
      </x:c>
      <x:c r="L453" s="29" t="str">
        <x:f>IF($A453="","",J453-K453)</x:f>
      </x:c>
    </x:row>
    <x:row r="454">
      <x:c r="F454" s="26"/>
      <x:c r="G454" s="26"/>
      <x:c r="I454" s="28" t="str">
        <x:f>IF($A454="","",IF(ISNUMBER($B454),TEXT($B454,"yyyy-mm"),LEFT($B454,7)))</x:f>
      </x:c>
      <x:c r="J454" s="29" t="str">
        <x:f>IF($A454="","",IF($H454="Completed",$E454*$F454,0))</x:f>
      </x:c>
      <x:c r="K454" s="29" t="str">
        <x:f>IF($A454="","",IF($H454="Completed",$E454*$G454,0))</x:f>
      </x:c>
      <x:c r="L454" s="29" t="str">
        <x:f>IF($A454="","",J454-K454)</x:f>
      </x:c>
    </x:row>
    <x:row r="455">
      <x:c r="F455" s="26"/>
      <x:c r="G455" s="26"/>
      <x:c r="I455" s="28" t="str">
        <x:f>IF($A455="","",IF(ISNUMBER($B455),TEXT($B455,"yyyy-mm"),LEFT($B455,7)))</x:f>
      </x:c>
      <x:c r="J455" s="29" t="str">
        <x:f>IF($A455="","",IF($H455="Completed",$E455*$F455,0))</x:f>
      </x:c>
      <x:c r="K455" s="29" t="str">
        <x:f>IF($A455="","",IF($H455="Completed",$E455*$G455,0))</x:f>
      </x:c>
      <x:c r="L455" s="29" t="str">
        <x:f>IF($A455="","",J455-K455)</x:f>
      </x:c>
    </x:row>
    <x:row r="456">
      <x:c r="F456" s="26"/>
      <x:c r="G456" s="26"/>
      <x:c r="I456" s="28" t="str">
        <x:f>IF($A456="","",IF(ISNUMBER($B456),TEXT($B456,"yyyy-mm"),LEFT($B456,7)))</x:f>
      </x:c>
      <x:c r="J456" s="29" t="str">
        <x:f>IF($A456="","",IF($H456="Completed",$E456*$F456,0))</x:f>
      </x:c>
      <x:c r="K456" s="29" t="str">
        <x:f>IF($A456="","",IF($H456="Completed",$E456*$G456,0))</x:f>
      </x:c>
      <x:c r="L456" s="29" t="str">
        <x:f>IF($A456="","",J456-K456)</x:f>
      </x:c>
    </x:row>
    <x:row r="457">
      <x:c r="F457" s="26"/>
      <x:c r="G457" s="26"/>
      <x:c r="I457" s="28" t="str">
        <x:f>IF($A457="","",IF(ISNUMBER($B457),TEXT($B457,"yyyy-mm"),LEFT($B457,7)))</x:f>
      </x:c>
      <x:c r="J457" s="29" t="str">
        <x:f>IF($A457="","",IF($H457="Completed",$E457*$F457,0))</x:f>
      </x:c>
      <x:c r="K457" s="29" t="str">
        <x:f>IF($A457="","",IF($H457="Completed",$E457*$G457,0))</x:f>
      </x:c>
      <x:c r="L457" s="29" t="str">
        <x:f>IF($A457="","",J457-K457)</x:f>
      </x:c>
    </x:row>
    <x:row r="458">
      <x:c r="F458" s="26"/>
      <x:c r="G458" s="26"/>
      <x:c r="I458" s="28" t="str">
        <x:f>IF($A458="","",IF(ISNUMBER($B458),TEXT($B458,"yyyy-mm"),LEFT($B458,7)))</x:f>
      </x:c>
      <x:c r="J458" s="29" t="str">
        <x:f>IF($A458="","",IF($H458="Completed",$E458*$F458,0))</x:f>
      </x:c>
      <x:c r="K458" s="29" t="str">
        <x:f>IF($A458="","",IF($H458="Completed",$E458*$G458,0))</x:f>
      </x:c>
      <x:c r="L458" s="29" t="str">
        <x:f>IF($A458="","",J458-K458)</x:f>
      </x:c>
    </x:row>
    <x:row r="459">
      <x:c r="F459" s="26"/>
      <x:c r="G459" s="26"/>
      <x:c r="I459" s="28" t="str">
        <x:f>IF($A459="","",IF(ISNUMBER($B459),TEXT($B459,"yyyy-mm"),LEFT($B459,7)))</x:f>
      </x:c>
      <x:c r="J459" s="29" t="str">
        <x:f>IF($A459="","",IF($H459="Completed",$E459*$F459,0))</x:f>
      </x:c>
      <x:c r="K459" s="29" t="str">
        <x:f>IF($A459="","",IF($H459="Completed",$E459*$G459,0))</x:f>
      </x:c>
      <x:c r="L459" s="29" t="str">
        <x:f>IF($A459="","",J459-K459)</x:f>
      </x:c>
    </x:row>
    <x:row r="460">
      <x:c r="F460" s="26"/>
      <x:c r="G460" s="26"/>
      <x:c r="I460" s="28" t="str">
        <x:f>IF($A460="","",IF(ISNUMBER($B460),TEXT($B460,"yyyy-mm"),LEFT($B460,7)))</x:f>
      </x:c>
      <x:c r="J460" s="29" t="str">
        <x:f>IF($A460="","",IF($H460="Completed",$E460*$F460,0))</x:f>
      </x:c>
      <x:c r="K460" s="29" t="str">
        <x:f>IF($A460="","",IF($H460="Completed",$E460*$G460,0))</x:f>
      </x:c>
      <x:c r="L460" s="29" t="str">
        <x:f>IF($A460="","",J460-K460)</x:f>
      </x:c>
    </x:row>
    <x:row r="461">
      <x:c r="F461" s="26"/>
      <x:c r="G461" s="26"/>
      <x:c r="I461" s="28" t="str">
        <x:f>IF($A461="","",IF(ISNUMBER($B461),TEXT($B461,"yyyy-mm"),LEFT($B461,7)))</x:f>
      </x:c>
      <x:c r="J461" s="29" t="str">
        <x:f>IF($A461="","",IF($H461="Completed",$E461*$F461,0))</x:f>
      </x:c>
      <x:c r="K461" s="29" t="str">
        <x:f>IF($A461="","",IF($H461="Completed",$E461*$G461,0))</x:f>
      </x:c>
      <x:c r="L461" s="29" t="str">
        <x:f>IF($A461="","",J461-K461)</x:f>
      </x:c>
    </x:row>
    <x:row r="462">
      <x:c r="F462" s="26"/>
      <x:c r="G462" s="26"/>
      <x:c r="I462" s="28" t="str">
        <x:f>IF($A462="","",IF(ISNUMBER($B462),TEXT($B462,"yyyy-mm"),LEFT($B462,7)))</x:f>
      </x:c>
      <x:c r="J462" s="29" t="str">
        <x:f>IF($A462="","",IF($H462="Completed",$E462*$F462,0))</x:f>
      </x:c>
      <x:c r="K462" s="29" t="str">
        <x:f>IF($A462="","",IF($H462="Completed",$E462*$G462,0))</x:f>
      </x:c>
      <x:c r="L462" s="29" t="str">
        <x:f>IF($A462="","",J462-K462)</x:f>
      </x:c>
    </x:row>
    <x:row r="463">
      <x:c r="F463" s="26"/>
      <x:c r="G463" s="26"/>
      <x:c r="I463" s="28" t="str">
        <x:f>IF($A463="","",IF(ISNUMBER($B463),TEXT($B463,"yyyy-mm"),LEFT($B463,7)))</x:f>
      </x:c>
      <x:c r="J463" s="29" t="str">
        <x:f>IF($A463="","",IF($H463="Completed",$E463*$F463,0))</x:f>
      </x:c>
      <x:c r="K463" s="29" t="str">
        <x:f>IF($A463="","",IF($H463="Completed",$E463*$G463,0))</x:f>
      </x:c>
      <x:c r="L463" s="29" t="str">
        <x:f>IF($A463="","",J463-K463)</x:f>
      </x:c>
    </x:row>
    <x:row r="464">
      <x:c r="F464" s="26"/>
      <x:c r="G464" s="26"/>
      <x:c r="I464" s="28" t="str">
        <x:f>IF($A464="","",IF(ISNUMBER($B464),TEXT($B464,"yyyy-mm"),LEFT($B464,7)))</x:f>
      </x:c>
      <x:c r="J464" s="29" t="str">
        <x:f>IF($A464="","",IF($H464="Completed",$E464*$F464,0))</x:f>
      </x:c>
      <x:c r="K464" s="29" t="str">
        <x:f>IF($A464="","",IF($H464="Completed",$E464*$G464,0))</x:f>
      </x:c>
      <x:c r="L464" s="29" t="str">
        <x:f>IF($A464="","",J464-K464)</x:f>
      </x:c>
    </x:row>
    <x:row r="465">
      <x:c r="F465" s="26"/>
      <x:c r="G465" s="26"/>
      <x:c r="I465" s="28" t="str">
        <x:f>IF($A465="","",IF(ISNUMBER($B465),TEXT($B465,"yyyy-mm"),LEFT($B465,7)))</x:f>
      </x:c>
      <x:c r="J465" s="29" t="str">
        <x:f>IF($A465="","",IF($H465="Completed",$E465*$F465,0))</x:f>
      </x:c>
      <x:c r="K465" s="29" t="str">
        <x:f>IF($A465="","",IF($H465="Completed",$E465*$G465,0))</x:f>
      </x:c>
      <x:c r="L465" s="29" t="str">
        <x:f>IF($A465="","",J465-K465)</x:f>
      </x:c>
    </x:row>
    <x:row r="466">
      <x:c r="F466" s="26"/>
      <x:c r="G466" s="26"/>
      <x:c r="I466" s="28" t="str">
        <x:f>IF($A466="","",IF(ISNUMBER($B466),TEXT($B466,"yyyy-mm"),LEFT($B466,7)))</x:f>
      </x:c>
      <x:c r="J466" s="29" t="str">
        <x:f>IF($A466="","",IF($H466="Completed",$E466*$F466,0))</x:f>
      </x:c>
      <x:c r="K466" s="29" t="str">
        <x:f>IF($A466="","",IF($H466="Completed",$E466*$G466,0))</x:f>
      </x:c>
      <x:c r="L466" s="29" t="str">
        <x:f>IF($A466="","",J466-K466)</x:f>
      </x:c>
    </x:row>
    <x:row r="467">
      <x:c r="F467" s="26"/>
      <x:c r="G467" s="26"/>
      <x:c r="I467" s="28" t="str">
        <x:f>IF($A467="","",IF(ISNUMBER($B467),TEXT($B467,"yyyy-mm"),LEFT($B467,7)))</x:f>
      </x:c>
      <x:c r="J467" s="29" t="str">
        <x:f>IF($A467="","",IF($H467="Completed",$E467*$F467,0))</x:f>
      </x:c>
      <x:c r="K467" s="29" t="str">
        <x:f>IF($A467="","",IF($H467="Completed",$E467*$G467,0))</x:f>
      </x:c>
      <x:c r="L467" s="29" t="str">
        <x:f>IF($A467="","",J467-K467)</x:f>
      </x:c>
    </x:row>
    <x:row r="468">
      <x:c r="F468" s="26"/>
      <x:c r="G468" s="26"/>
      <x:c r="I468" s="28" t="str">
        <x:f>IF($A468="","",IF(ISNUMBER($B468),TEXT($B468,"yyyy-mm"),LEFT($B468,7)))</x:f>
      </x:c>
      <x:c r="J468" s="29" t="str">
        <x:f>IF($A468="","",IF($H468="Completed",$E468*$F468,0))</x:f>
      </x:c>
      <x:c r="K468" s="29" t="str">
        <x:f>IF($A468="","",IF($H468="Completed",$E468*$G468,0))</x:f>
      </x:c>
      <x:c r="L468" s="29" t="str">
        <x:f>IF($A468="","",J468-K468)</x:f>
      </x:c>
    </x:row>
    <x:row r="469">
      <x:c r="F469" s="26"/>
      <x:c r="G469" s="26"/>
      <x:c r="I469" s="28" t="str">
        <x:f>IF($A469="","",IF(ISNUMBER($B469),TEXT($B469,"yyyy-mm"),LEFT($B469,7)))</x:f>
      </x:c>
      <x:c r="J469" s="29" t="str">
        <x:f>IF($A469="","",IF($H469="Completed",$E469*$F469,0))</x:f>
      </x:c>
      <x:c r="K469" s="29" t="str">
        <x:f>IF($A469="","",IF($H469="Completed",$E469*$G469,0))</x:f>
      </x:c>
      <x:c r="L469" s="29" t="str">
        <x:f>IF($A469="","",J469-K469)</x:f>
      </x:c>
    </x:row>
    <x:row r="470">
      <x:c r="F470" s="26"/>
      <x:c r="G470" s="26"/>
      <x:c r="I470" s="28" t="str">
        <x:f>IF($A470="","",IF(ISNUMBER($B470),TEXT($B470,"yyyy-mm"),LEFT($B470,7)))</x:f>
      </x:c>
      <x:c r="J470" s="29" t="str">
        <x:f>IF($A470="","",IF($H470="Completed",$E470*$F470,0))</x:f>
      </x:c>
      <x:c r="K470" s="29" t="str">
        <x:f>IF($A470="","",IF($H470="Completed",$E470*$G470,0))</x:f>
      </x:c>
      <x:c r="L470" s="29" t="str">
        <x:f>IF($A470="","",J470-K470)</x:f>
      </x:c>
    </x:row>
    <x:row r="471">
      <x:c r="F471" s="26"/>
      <x:c r="G471" s="26"/>
      <x:c r="I471" s="28" t="str">
        <x:f>IF($A471="","",IF(ISNUMBER($B471),TEXT($B471,"yyyy-mm"),LEFT($B471,7)))</x:f>
      </x:c>
      <x:c r="J471" s="29" t="str">
        <x:f>IF($A471="","",IF($H471="Completed",$E471*$F471,0))</x:f>
      </x:c>
      <x:c r="K471" s="29" t="str">
        <x:f>IF($A471="","",IF($H471="Completed",$E471*$G471,0))</x:f>
      </x:c>
      <x:c r="L471" s="29" t="str">
        <x:f>IF($A471="","",J471-K471)</x:f>
      </x:c>
    </x:row>
    <x:row r="472">
      <x:c r="F472" s="26"/>
      <x:c r="G472" s="26"/>
      <x:c r="I472" s="28" t="str">
        <x:f>IF($A472="","",IF(ISNUMBER($B472),TEXT($B472,"yyyy-mm"),LEFT($B472,7)))</x:f>
      </x:c>
      <x:c r="J472" s="29" t="str">
        <x:f>IF($A472="","",IF($H472="Completed",$E472*$F472,0))</x:f>
      </x:c>
      <x:c r="K472" s="29" t="str">
        <x:f>IF($A472="","",IF($H472="Completed",$E472*$G472,0))</x:f>
      </x:c>
      <x:c r="L472" s="29" t="str">
        <x:f>IF($A472="","",J472-K472)</x:f>
      </x:c>
    </x:row>
    <x:row r="473">
      <x:c r="F473" s="26"/>
      <x:c r="G473" s="26"/>
      <x:c r="I473" s="28" t="str">
        <x:f>IF($A473="","",IF(ISNUMBER($B473),TEXT($B473,"yyyy-mm"),LEFT($B473,7)))</x:f>
      </x:c>
      <x:c r="J473" s="29" t="str">
        <x:f>IF($A473="","",IF($H473="Completed",$E473*$F473,0))</x:f>
      </x:c>
      <x:c r="K473" s="29" t="str">
        <x:f>IF($A473="","",IF($H473="Completed",$E473*$G473,0))</x:f>
      </x:c>
      <x:c r="L473" s="29" t="str">
        <x:f>IF($A473="","",J473-K473)</x:f>
      </x:c>
    </x:row>
    <x:row r="474">
      <x:c r="F474" s="26"/>
      <x:c r="G474" s="26"/>
      <x:c r="I474" s="28" t="str">
        <x:f>IF($A474="","",IF(ISNUMBER($B474),TEXT($B474,"yyyy-mm"),LEFT($B474,7)))</x:f>
      </x:c>
      <x:c r="J474" s="29" t="str">
        <x:f>IF($A474="","",IF($H474="Completed",$E474*$F474,0))</x:f>
      </x:c>
      <x:c r="K474" s="29" t="str">
        <x:f>IF($A474="","",IF($H474="Completed",$E474*$G474,0))</x:f>
      </x:c>
      <x:c r="L474" s="29" t="str">
        <x:f>IF($A474="","",J474-K474)</x:f>
      </x:c>
    </x:row>
    <x:row r="475">
      <x:c r="F475" s="26"/>
      <x:c r="G475" s="26"/>
      <x:c r="I475" s="28" t="str">
        <x:f>IF($A475="","",IF(ISNUMBER($B475),TEXT($B475,"yyyy-mm"),LEFT($B475,7)))</x:f>
      </x:c>
      <x:c r="J475" s="29" t="str">
        <x:f>IF($A475="","",IF($H475="Completed",$E475*$F475,0))</x:f>
      </x:c>
      <x:c r="K475" s="29" t="str">
        <x:f>IF($A475="","",IF($H475="Completed",$E475*$G475,0))</x:f>
      </x:c>
      <x:c r="L475" s="29" t="str">
        <x:f>IF($A475="","",J475-K475)</x:f>
      </x:c>
    </x:row>
    <x:row r="476">
      <x:c r="F476" s="26"/>
      <x:c r="G476" s="26"/>
      <x:c r="I476" s="28" t="str">
        <x:f>IF($A476="","",IF(ISNUMBER($B476),TEXT($B476,"yyyy-mm"),LEFT($B476,7)))</x:f>
      </x:c>
      <x:c r="J476" s="29" t="str">
        <x:f>IF($A476="","",IF($H476="Completed",$E476*$F476,0))</x:f>
      </x:c>
      <x:c r="K476" s="29" t="str">
        <x:f>IF($A476="","",IF($H476="Completed",$E476*$G476,0))</x:f>
      </x:c>
      <x:c r="L476" s="29" t="str">
        <x:f>IF($A476="","",J476-K476)</x:f>
      </x:c>
    </x:row>
    <x:row r="477">
      <x:c r="F477" s="26"/>
      <x:c r="G477" s="26"/>
      <x:c r="I477" s="28" t="str">
        <x:f>IF($A477="","",IF(ISNUMBER($B477),TEXT($B477,"yyyy-mm"),LEFT($B477,7)))</x:f>
      </x:c>
      <x:c r="J477" s="29" t="str">
        <x:f>IF($A477="","",IF($H477="Completed",$E477*$F477,0))</x:f>
      </x:c>
      <x:c r="K477" s="29" t="str">
        <x:f>IF($A477="","",IF($H477="Completed",$E477*$G477,0))</x:f>
      </x:c>
      <x:c r="L477" s="29" t="str">
        <x:f>IF($A477="","",J477-K477)</x:f>
      </x:c>
    </x:row>
    <x:row r="478">
      <x:c r="F478" s="26"/>
      <x:c r="G478" s="26"/>
      <x:c r="I478" s="28" t="str">
        <x:f>IF($A478="","",IF(ISNUMBER($B478),TEXT($B478,"yyyy-mm"),LEFT($B478,7)))</x:f>
      </x:c>
      <x:c r="J478" s="29" t="str">
        <x:f>IF($A478="","",IF($H478="Completed",$E478*$F478,0))</x:f>
      </x:c>
      <x:c r="K478" s="29" t="str">
        <x:f>IF($A478="","",IF($H478="Completed",$E478*$G478,0))</x:f>
      </x:c>
      <x:c r="L478" s="29" t="str">
        <x:f>IF($A478="","",J478-K478)</x:f>
      </x:c>
    </x:row>
    <x:row r="479">
      <x:c r="F479" s="26"/>
      <x:c r="G479" s="26"/>
      <x:c r="I479" s="28" t="str">
        <x:f>IF($A479="","",IF(ISNUMBER($B479),TEXT($B479,"yyyy-mm"),LEFT($B479,7)))</x:f>
      </x:c>
      <x:c r="J479" s="29" t="str">
        <x:f>IF($A479="","",IF($H479="Completed",$E479*$F479,0))</x:f>
      </x:c>
      <x:c r="K479" s="29" t="str">
        <x:f>IF($A479="","",IF($H479="Completed",$E479*$G479,0))</x:f>
      </x:c>
      <x:c r="L479" s="29" t="str">
        <x:f>IF($A479="","",J479-K479)</x:f>
      </x:c>
    </x:row>
    <x:row r="480">
      <x:c r="F480" s="26"/>
      <x:c r="G480" s="26"/>
      <x:c r="I480" s="28" t="str">
        <x:f>IF($A480="","",IF(ISNUMBER($B480),TEXT($B480,"yyyy-mm"),LEFT($B480,7)))</x:f>
      </x:c>
      <x:c r="J480" s="29" t="str">
        <x:f>IF($A480="","",IF($H480="Completed",$E480*$F480,0))</x:f>
      </x:c>
      <x:c r="K480" s="29" t="str">
        <x:f>IF($A480="","",IF($H480="Completed",$E480*$G480,0))</x:f>
      </x:c>
      <x:c r="L480" s="29" t="str">
        <x:f>IF($A480="","",J480-K480)</x:f>
      </x:c>
    </x:row>
    <x:row r="481">
      <x:c r="F481" s="26"/>
      <x:c r="G481" s="26"/>
      <x:c r="I481" s="28" t="str">
        <x:f>IF($A481="","",IF(ISNUMBER($B481),TEXT($B481,"yyyy-mm"),LEFT($B481,7)))</x:f>
      </x:c>
      <x:c r="J481" s="29" t="str">
        <x:f>IF($A481="","",IF($H481="Completed",$E481*$F481,0))</x:f>
      </x:c>
      <x:c r="K481" s="29" t="str">
        <x:f>IF($A481="","",IF($H481="Completed",$E481*$G481,0))</x:f>
      </x:c>
      <x:c r="L481" s="29" t="str">
        <x:f>IF($A481="","",J481-K481)</x:f>
      </x:c>
    </x:row>
    <x:row r="482">
      <x:c r="F482" s="26"/>
      <x:c r="G482" s="26"/>
      <x:c r="I482" s="28" t="str">
        <x:f>IF($A482="","",IF(ISNUMBER($B482),TEXT($B482,"yyyy-mm"),LEFT($B482,7)))</x:f>
      </x:c>
      <x:c r="J482" s="29" t="str">
        <x:f>IF($A482="","",IF($H482="Completed",$E482*$F482,0))</x:f>
      </x:c>
      <x:c r="K482" s="29" t="str">
        <x:f>IF($A482="","",IF($H482="Completed",$E482*$G482,0))</x:f>
      </x:c>
      <x:c r="L482" s="29" t="str">
        <x:f>IF($A482="","",J482-K482)</x:f>
      </x:c>
    </x:row>
    <x:row r="483">
      <x:c r="F483" s="26"/>
      <x:c r="G483" s="26"/>
      <x:c r="I483" s="28" t="str">
        <x:f>IF($A483="","",IF(ISNUMBER($B483),TEXT($B483,"yyyy-mm"),LEFT($B483,7)))</x:f>
      </x:c>
      <x:c r="J483" s="29" t="str">
        <x:f>IF($A483="","",IF($H483="Completed",$E483*$F483,0))</x:f>
      </x:c>
      <x:c r="K483" s="29" t="str">
        <x:f>IF($A483="","",IF($H483="Completed",$E483*$G483,0))</x:f>
      </x:c>
      <x:c r="L483" s="29" t="str">
        <x:f>IF($A483="","",J483-K483)</x:f>
      </x:c>
    </x:row>
    <x:row r="484">
      <x:c r="F484" s="26"/>
      <x:c r="G484" s="26"/>
      <x:c r="I484" s="28" t="str">
        <x:f>IF($A484="","",IF(ISNUMBER($B484),TEXT($B484,"yyyy-mm"),LEFT($B484,7)))</x:f>
      </x:c>
      <x:c r="J484" s="29" t="str">
        <x:f>IF($A484="","",IF($H484="Completed",$E484*$F484,0))</x:f>
      </x:c>
      <x:c r="K484" s="29" t="str">
        <x:f>IF($A484="","",IF($H484="Completed",$E484*$G484,0))</x:f>
      </x:c>
      <x:c r="L484" s="29" t="str">
        <x:f>IF($A484="","",J484-K484)</x:f>
      </x:c>
    </x:row>
    <x:row r="485">
      <x:c r="F485" s="26"/>
      <x:c r="G485" s="26"/>
      <x:c r="I485" s="28" t="str">
        <x:f>IF($A485="","",IF(ISNUMBER($B485),TEXT($B485,"yyyy-mm"),LEFT($B485,7)))</x:f>
      </x:c>
      <x:c r="J485" s="29" t="str">
        <x:f>IF($A485="","",IF($H485="Completed",$E485*$F485,0))</x:f>
      </x:c>
      <x:c r="K485" s="29" t="str">
        <x:f>IF($A485="","",IF($H485="Completed",$E485*$G485,0))</x:f>
      </x:c>
      <x:c r="L485" s="29" t="str">
        <x:f>IF($A485="","",J485-K485)</x:f>
      </x:c>
    </x:row>
    <x:row r="486">
      <x:c r="F486" s="26"/>
      <x:c r="G486" s="26"/>
      <x:c r="I486" s="28" t="str">
        <x:f>IF($A486="","",IF(ISNUMBER($B486),TEXT($B486,"yyyy-mm"),LEFT($B486,7)))</x:f>
      </x:c>
      <x:c r="J486" s="29" t="str">
        <x:f>IF($A486="","",IF($H486="Completed",$E486*$F486,0))</x:f>
      </x:c>
      <x:c r="K486" s="29" t="str">
        <x:f>IF($A486="","",IF($H486="Completed",$E486*$G486,0))</x:f>
      </x:c>
      <x:c r="L486" s="29" t="str">
        <x:f>IF($A486="","",J486-K486)</x:f>
      </x:c>
    </x:row>
    <x:row r="487">
      <x:c r="F487" s="26"/>
      <x:c r="G487" s="26"/>
      <x:c r="I487" s="28" t="str">
        <x:f>IF($A487="","",IF(ISNUMBER($B487),TEXT($B487,"yyyy-mm"),LEFT($B487,7)))</x:f>
      </x:c>
      <x:c r="J487" s="29" t="str">
        <x:f>IF($A487="","",IF($H487="Completed",$E487*$F487,0))</x:f>
      </x:c>
      <x:c r="K487" s="29" t="str">
        <x:f>IF($A487="","",IF($H487="Completed",$E487*$G487,0))</x:f>
      </x:c>
      <x:c r="L487" s="29" t="str">
        <x:f>IF($A487="","",J487-K487)</x:f>
      </x:c>
    </x:row>
    <x:row r="488">
      <x:c r="F488" s="26"/>
      <x:c r="G488" s="26"/>
      <x:c r="I488" s="28" t="str">
        <x:f>IF($A488="","",IF(ISNUMBER($B488),TEXT($B488,"yyyy-mm"),LEFT($B488,7)))</x:f>
      </x:c>
      <x:c r="J488" s="29" t="str">
        <x:f>IF($A488="","",IF($H488="Completed",$E488*$F488,0))</x:f>
      </x:c>
      <x:c r="K488" s="29" t="str">
        <x:f>IF($A488="","",IF($H488="Completed",$E488*$G488,0))</x:f>
      </x:c>
      <x:c r="L488" s="29" t="str">
        <x:f>IF($A488="","",J488-K488)</x:f>
      </x:c>
    </x:row>
    <x:row r="489">
      <x:c r="F489" s="26"/>
      <x:c r="G489" s="26"/>
      <x:c r="I489" s="28" t="str">
        <x:f>IF($A489="","",IF(ISNUMBER($B489),TEXT($B489,"yyyy-mm"),LEFT($B489,7)))</x:f>
      </x:c>
      <x:c r="J489" s="29" t="str">
        <x:f>IF($A489="","",IF($H489="Completed",$E489*$F489,0))</x:f>
      </x:c>
      <x:c r="K489" s="29" t="str">
        <x:f>IF($A489="","",IF($H489="Completed",$E489*$G489,0))</x:f>
      </x:c>
      <x:c r="L489" s="29" t="str">
        <x:f>IF($A489="","",J489-K489)</x:f>
      </x:c>
    </x:row>
    <x:row r="490">
      <x:c r="F490" s="26"/>
      <x:c r="G490" s="26"/>
      <x:c r="I490" s="28" t="str">
        <x:f>IF($A490="","",IF(ISNUMBER($B490),TEXT($B490,"yyyy-mm"),LEFT($B490,7)))</x:f>
      </x:c>
      <x:c r="J490" s="29" t="str">
        <x:f>IF($A490="","",IF($H490="Completed",$E490*$F490,0))</x:f>
      </x:c>
      <x:c r="K490" s="29" t="str">
        <x:f>IF($A490="","",IF($H490="Completed",$E490*$G490,0))</x:f>
      </x:c>
      <x:c r="L490" s="29" t="str">
        <x:f>IF($A490="","",J490-K490)</x:f>
      </x:c>
    </x:row>
    <x:row r="491">
      <x:c r="F491" s="26"/>
      <x:c r="G491" s="26"/>
      <x:c r="I491" s="28" t="str">
        <x:f>IF($A491="","",IF(ISNUMBER($B491),TEXT($B491,"yyyy-mm"),LEFT($B491,7)))</x:f>
      </x:c>
      <x:c r="J491" s="29" t="str">
        <x:f>IF($A491="","",IF($H491="Completed",$E491*$F491,0))</x:f>
      </x:c>
      <x:c r="K491" s="29" t="str">
        <x:f>IF($A491="","",IF($H491="Completed",$E491*$G491,0))</x:f>
      </x:c>
      <x:c r="L491" s="29" t="str">
        <x:f>IF($A491="","",J491-K491)</x:f>
      </x:c>
    </x:row>
    <x:row r="492">
      <x:c r="F492" s="26"/>
      <x:c r="G492" s="26"/>
      <x:c r="I492" s="28" t="str">
        <x:f>IF($A492="","",IF(ISNUMBER($B492),TEXT($B492,"yyyy-mm"),LEFT($B492,7)))</x:f>
      </x:c>
      <x:c r="J492" s="29" t="str">
        <x:f>IF($A492="","",IF($H492="Completed",$E492*$F492,0))</x:f>
      </x:c>
      <x:c r="K492" s="29" t="str">
        <x:f>IF($A492="","",IF($H492="Completed",$E492*$G492,0))</x:f>
      </x:c>
      <x:c r="L492" s="29" t="str">
        <x:f>IF($A492="","",J492-K492)</x:f>
      </x:c>
    </x:row>
    <x:row r="493">
      <x:c r="F493" s="26"/>
      <x:c r="G493" s="26"/>
      <x:c r="I493" s="28" t="str">
        <x:f>IF($A493="","",IF(ISNUMBER($B493),TEXT($B493,"yyyy-mm"),LEFT($B493,7)))</x:f>
      </x:c>
      <x:c r="J493" s="29" t="str">
        <x:f>IF($A493="","",IF($H493="Completed",$E493*$F493,0))</x:f>
      </x:c>
      <x:c r="K493" s="29" t="str">
        <x:f>IF($A493="","",IF($H493="Completed",$E493*$G493,0))</x:f>
      </x:c>
      <x:c r="L493" s="29" t="str">
        <x:f>IF($A493="","",J493-K493)</x:f>
      </x:c>
    </x:row>
    <x:row r="494">
      <x:c r="F494" s="26"/>
      <x:c r="G494" s="26"/>
      <x:c r="I494" s="28" t="str">
        <x:f>IF($A494="","",IF(ISNUMBER($B494),TEXT($B494,"yyyy-mm"),LEFT($B494,7)))</x:f>
      </x:c>
      <x:c r="J494" s="29" t="str">
        <x:f>IF($A494="","",IF($H494="Completed",$E494*$F494,0))</x:f>
      </x:c>
      <x:c r="K494" s="29" t="str">
        <x:f>IF($A494="","",IF($H494="Completed",$E494*$G494,0))</x:f>
      </x:c>
      <x:c r="L494" s="29" t="str">
        <x:f>IF($A494="","",J494-K494)</x:f>
      </x:c>
    </x:row>
    <x:row r="495">
      <x:c r="F495" s="26"/>
      <x:c r="G495" s="26"/>
      <x:c r="I495" s="28" t="str">
        <x:f>IF($A495="","",IF(ISNUMBER($B495),TEXT($B495,"yyyy-mm"),LEFT($B495,7)))</x:f>
      </x:c>
      <x:c r="J495" s="29" t="str">
        <x:f>IF($A495="","",IF($H495="Completed",$E495*$F495,0))</x:f>
      </x:c>
      <x:c r="K495" s="29" t="str">
        <x:f>IF($A495="","",IF($H495="Completed",$E495*$G495,0))</x:f>
      </x:c>
      <x:c r="L495" s="29" t="str">
        <x:f>IF($A495="","",J495-K495)</x:f>
      </x:c>
    </x:row>
    <x:row r="496">
      <x:c r="F496" s="26"/>
      <x:c r="G496" s="26"/>
      <x:c r="I496" s="28" t="str">
        <x:f>IF($A496="","",IF(ISNUMBER($B496),TEXT($B496,"yyyy-mm"),LEFT($B496,7)))</x:f>
      </x:c>
      <x:c r="J496" s="29" t="str">
        <x:f>IF($A496="","",IF($H496="Completed",$E496*$F496,0))</x:f>
      </x:c>
      <x:c r="K496" s="29" t="str">
        <x:f>IF($A496="","",IF($H496="Completed",$E496*$G496,0))</x:f>
      </x:c>
      <x:c r="L496" s="29" t="str">
        <x:f>IF($A496="","",J496-K496)</x:f>
      </x:c>
    </x:row>
    <x:row r="497">
      <x:c r="F497" s="26"/>
      <x:c r="G497" s="26"/>
      <x:c r="I497" s="28" t="str">
        <x:f>IF($A497="","",IF(ISNUMBER($B497),TEXT($B497,"yyyy-mm"),LEFT($B497,7)))</x:f>
      </x:c>
      <x:c r="J497" s="29" t="str">
        <x:f>IF($A497="","",IF($H497="Completed",$E497*$F497,0))</x:f>
      </x:c>
      <x:c r="K497" s="29" t="str">
        <x:f>IF($A497="","",IF($H497="Completed",$E497*$G497,0))</x:f>
      </x:c>
      <x:c r="L497" s="29" t="str">
        <x:f>IF($A497="","",J497-K497)</x:f>
      </x:c>
    </x:row>
    <x:row r="498">
      <x:c r="F498" s="26"/>
      <x:c r="G498" s="26"/>
      <x:c r="I498" s="28" t="str">
        <x:f>IF($A498="","",IF(ISNUMBER($B498),TEXT($B498,"yyyy-mm"),LEFT($B498,7)))</x:f>
      </x:c>
      <x:c r="J498" s="29" t="str">
        <x:f>IF($A498="","",IF($H498="Completed",$E498*$F498,0))</x:f>
      </x:c>
      <x:c r="K498" s="29" t="str">
        <x:f>IF($A498="","",IF($H498="Completed",$E498*$G498,0))</x:f>
      </x:c>
      <x:c r="L498" s="29" t="str">
        <x:f>IF($A498="","",J498-K498)</x:f>
      </x:c>
    </x:row>
    <x:row r="499">
      <x:c r="F499" s="26"/>
      <x:c r="G499" s="26"/>
      <x:c r="I499" s="28" t="str">
        <x:f>IF($A499="","",IF(ISNUMBER($B499),TEXT($B499,"yyyy-mm"),LEFT($B499,7)))</x:f>
      </x:c>
      <x:c r="J499" s="29" t="str">
        <x:f>IF($A499="","",IF($H499="Completed",$E499*$F499,0))</x:f>
      </x:c>
      <x:c r="K499" s="29" t="str">
        <x:f>IF($A499="","",IF($H499="Completed",$E499*$G499,0))</x:f>
      </x:c>
      <x:c r="L499" s="29" t="str">
        <x:f>IF($A499="","",J499-K499)</x:f>
      </x:c>
    </x:row>
    <x:row r="500">
      <x:c r="F500" s="26"/>
      <x:c r="G500" s="26"/>
      <x:c r="I500" s="28" t="str">
        <x:f>IF($A500="","",IF(ISNUMBER($B500),TEXT($B500,"yyyy-mm"),LEFT($B500,7)))</x:f>
      </x:c>
      <x:c r="J500" s="29" t="str">
        <x:f>IF($A500="","",IF($H500="Completed",$E500*$F500,0))</x:f>
      </x:c>
      <x:c r="K500" s="29" t="str">
        <x:f>IF($A500="","",IF($H500="Completed",$E500*$G500,0))</x:f>
      </x:c>
      <x:c r="L500" s="29" t="str">
        <x:f>IF($A500="","",J500-K500)</x:f>
      </x:c>
    </x:row>
  </x:sheetData>
  <x:dataValidations count="1">
    <x:dataValidation type="list" sqref="H2:H500">
      <x:formula1>"Completed,Refunded,Cancelled"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24" hidden="0" customWidth="1"/>
  </x:cols>
  <x:sheetData>
    <x:row r="1" ht="26" customHeight="1">
      <x:c r="A1" s="23" t="str">
        <x:v>Month</x:v>
      </x:c>
      <x:c r="B1" s="23" t="str">
        <x:v>Completed</x:v>
      </x:c>
      <x:c r="C1" s="23" t="str">
        <x:v>Refunded</x:v>
      </x:c>
      <x:c r="D1" s="23" t="str">
        <x:v>Cancelled</x:v>
      </x:c>
      <x:c r="E1" s="23" t="str">
        <x:v>Sales (CAD)</x:v>
      </x:c>
      <x:c r="F1" s="23" t="str">
        <x:v>Gross Profit (CAD)</x:v>
      </x:c>
    </x:row>
    <x:row r="2">
      <x:c r="A2" t="str">
        <x:v>2026-07</x:v>
      </x:c>
      <x:c r="B2" t="n">
        <x:f>COUNTIFS(Orders!$I$2:$I$500,$A2,Orders!$H$2:$H$500,"Completed")</x:f>
        <x:v>25</x:v>
      </x:c>
      <x:c r="C2" t="n">
        <x:f>COUNTIFS(Orders!$I$2:$I$500,$A2,Orders!$H$2:$H$500,"Refunded")</x:f>
        <x:v>2</x:v>
      </x:c>
      <x:c r="D2" t="n">
        <x:f>COUNTIFS(Orders!$I$2:$I$500,$A2,Orders!$H$2:$H$500,"Cancelled")</x:f>
        <x:v>1</x:v>
      </x:c>
      <x:c r="E2" s="26" t="n">
        <x:f>SUMIF(Orders!$I$2:$I$500,$A2,Orders!$J$2:$J$500)</x:f>
        <x:v>1593</x:v>
      </x:c>
      <x:c r="F2" s="26" t="n">
        <x:f>SUMIF(Orders!$I$2:$I$500,$A2,Orders!$L$2:$L$500)</x:f>
        <x:v>912.6000000000001</x:v>
      </x:c>
    </x:row>
    <x:row r="3">
      <x:c r="A3" t="str">
        <x:v>2026-08</x:v>
      </x:c>
      <x:c r="B3" t="n">
        <x:f>COUNTIFS(Orders!$I$2:$I$500,$A3,Orders!$H$2:$H$500,"Completed")</x:f>
        <x:v>35</x:v>
      </x:c>
      <x:c r="C3" t="n">
        <x:f>COUNTIFS(Orders!$I$2:$I$500,$A3,Orders!$H$2:$H$500,"Refunded")</x:f>
        <x:v>5</x:v>
      </x:c>
      <x:c r="D3" t="n">
        <x:f>COUNTIFS(Orders!$I$2:$I$500,$A3,Orders!$H$2:$H$500,"Cancelled")</x:f>
        <x:v>4</x:v>
      </x:c>
      <x:c r="E3" s="26" t="n">
        <x:f>SUMIF(Orders!$I$2:$I$500,$A3,Orders!$J$2:$J$500)</x:f>
        <x:v>2098</x:v>
      </x:c>
      <x:c r="F3" s="26" t="n">
        <x:f>SUMIF(Orders!$I$2:$I$500,$A3,Orders!$L$2:$L$500)</x:f>
        <x:v>1221.2</x:v>
      </x:c>
    </x:row>
    <x:row r="4">
      <x:c r="A4" t="str">
        <x:v>2026-09</x:v>
      </x:c>
      <x:c r="B4" t="n">
        <x:f>COUNTIFS(Orders!$I$2:$I$500,$A4,Orders!$H$2:$H$500,"Completed")</x:f>
        <x:v>38</x:v>
      </x:c>
      <x:c r="C4" t="n">
        <x:f>COUNTIFS(Orders!$I$2:$I$500,$A4,Orders!$H$2:$H$500,"Refunded")</x:f>
        <x:v>2</x:v>
      </x:c>
      <x:c r="D4" t="n">
        <x:f>COUNTIFS(Orders!$I$2:$I$500,$A4,Orders!$H$2:$H$500,"Cancelled")</x:f>
        <x:v>3</x:v>
      </x:c>
      <x:c r="E4" s="26" t="n">
        <x:f>SUMIF(Orders!$I$2:$I$500,$A4,Orders!$J$2:$J$500)</x:f>
        <x:v>1893</x:v>
      </x:c>
      <x:c r="F4" s="26" t="n">
        <x:f>SUMIF(Orders!$I$2:$I$500,$A4,Orders!$L$2:$L$500)</x:f>
        <x:v>1150.4</x:v>
      </x:c>
    </x:row>
    <x:row r="5">
      <x:c r="A5" t="str">
        <x:v>2026-10</x:v>
      </x:c>
      <x:c r="B5" t="n">
        <x:f>COUNTIFS(Orders!$I$2:$I$500,$A5,Orders!$H$2:$H$500,"Completed")</x:f>
        <x:v>16</x:v>
      </x:c>
      <x:c r="C5" t="n">
        <x:f>COUNTIFS(Orders!$I$2:$I$500,$A5,Orders!$H$2:$H$500,"Refunded")</x:f>
        <x:v>1</x:v>
      </x:c>
      <x:c r="D5" t="n">
        <x:f>COUNTIFS(Orders!$I$2:$I$500,$A5,Orders!$H$2:$H$500,"Cancelled")</x:f>
        <x:v>0</x:v>
      </x:c>
      <x:c r="E5" s="26" t="n">
        <x:f>SUMIF(Orders!$I$2:$I$500,$A5,Orders!$J$2:$J$500)</x:f>
        <x:v>1090</x:v>
      </x:c>
      <x:c r="F5" s="26" t="n">
        <x:f>SUMIF(Orders!$I$2:$I$500,$A5,Orders!$L$2:$L$500)</x:f>
        <x:v>625.1</x:v>
      </x:c>
    </x:row>
    <x:row r="6">
      <x:c r="A6" t="str">
        <x:v>2026-11</x:v>
      </x:c>
      <x:c r="B6" t="n">
        <x:f>COUNTIFS(Orders!$I$2:$I$500,$A6,Orders!$H$2:$H$500,"Completed")</x:f>
        <x:v>0</x:v>
      </x:c>
      <x:c r="C6" t="n">
        <x:f>COUNTIFS(Orders!$I$2:$I$500,$A6,Orders!$H$2:$H$500,"Refunded")</x:f>
        <x:v>0</x:v>
      </x:c>
      <x:c r="D6" t="n">
        <x:f>COUNTIFS(Orders!$I$2:$I$500,$A6,Orders!$H$2:$H$500,"Cancelled")</x:f>
        <x:v>0</x:v>
      </x:c>
      <x:c r="E6" s="26" t="n">
        <x:f>SUMIF(Orders!$I$2:$I$500,$A6,Orders!$J$2:$J$500)</x:f>
        <x:v>0</x:v>
      </x:c>
      <x:c r="F6" s="26" t="n">
        <x:f>SUMIF(Orders!$I$2:$I$500,$A6,Orders!$L$2:$L$500)</x:f>
        <x:v>0</x:v>
      </x:c>
    </x:row>
    <x:row r="7">
      <x:c r="A7" t="str">
        <x:v>2026-12</x:v>
      </x:c>
      <x:c r="B7" t="n">
        <x:f>COUNTIFS(Orders!$I$2:$I$500,$A7,Orders!$H$2:$H$500,"Completed")</x:f>
        <x:v>0</x:v>
      </x:c>
      <x:c r="C7" t="n">
        <x:f>COUNTIFS(Orders!$I$2:$I$500,$A7,Orders!$H$2:$H$500,"Refunded")</x:f>
        <x:v>0</x:v>
      </x:c>
      <x:c r="D7" t="n">
        <x:f>COUNTIFS(Orders!$I$2:$I$500,$A7,Orders!$H$2:$H$500,"Cancelled")</x:f>
        <x:v>0</x:v>
      </x:c>
      <x:c r="E7" s="26" t="n">
        <x:f>SUMIF(Orders!$I$2:$I$500,$A7,Orders!$J$2:$J$500)</x:f>
        <x:v>0</x:v>
      </x:c>
      <x:c r="F7" s="26" t="n">
        <x:f>SUMIF(Orders!$I$2:$I$500,$A7,Orders!$L$2:$L$500)</x:f>
        <x:v>0</x:v>
      </x:c>
    </x:row>
    <x:row r="8">
      <x:c r="A8" t="str">
        <x:v>2027-01</x:v>
      </x:c>
      <x:c r="B8" t="n">
        <x:f>COUNTIFS(Orders!$I$2:$I$500,$A8,Orders!$H$2:$H$500,"Completed")</x:f>
        <x:v>0</x:v>
      </x:c>
      <x:c r="C8" t="n">
        <x:f>COUNTIFS(Orders!$I$2:$I$500,$A8,Orders!$H$2:$H$500,"Refunded")</x:f>
        <x:v>0</x:v>
      </x:c>
      <x:c r="D8" t="n">
        <x:f>COUNTIFS(Orders!$I$2:$I$500,$A8,Orders!$H$2:$H$500,"Cancelled")</x:f>
        <x:v>0</x:v>
      </x:c>
      <x:c r="E8" s="26" t="n">
        <x:f>SUMIF(Orders!$I$2:$I$500,$A8,Orders!$J$2:$J$500)</x:f>
        <x:v>0</x:v>
      </x:c>
      <x:c r="F8" s="26" t="n">
        <x:f>SUMIF(Orders!$I$2:$I$500,$A8,Orders!$L$2:$L$500)</x:f>
        <x:v>0</x:v>
      </x:c>
    </x:row>
    <x:row r="9">
      <x:c r="A9" t="str">
        <x:v>2027-02</x:v>
      </x:c>
      <x:c r="B9" t="n">
        <x:f>COUNTIFS(Orders!$I$2:$I$500,$A9,Orders!$H$2:$H$500,"Completed")</x:f>
        <x:v>0</x:v>
      </x:c>
      <x:c r="C9" t="n">
        <x:f>COUNTIFS(Orders!$I$2:$I$500,$A9,Orders!$H$2:$H$500,"Refunded")</x:f>
        <x:v>0</x:v>
      </x:c>
      <x:c r="D9" t="n">
        <x:f>COUNTIFS(Orders!$I$2:$I$500,$A9,Orders!$H$2:$H$500,"Cancelled")</x:f>
        <x:v>0</x:v>
      </x:c>
      <x:c r="E9" s="26" t="n">
        <x:f>SUMIF(Orders!$I$2:$I$500,$A9,Orders!$J$2:$J$500)</x:f>
        <x:v>0</x:v>
      </x:c>
      <x:c r="F9" s="26" t="n">
        <x:f>SUMIF(Orders!$I$2:$I$500,$A9,Orders!$L$2:$L$500)</x:f>
        <x:v>0</x:v>
      </x:c>
    </x:row>
    <x:row r="10">
      <x:c r="A10" t="str">
        <x:v>2027-03</x:v>
      </x:c>
      <x:c r="B10" t="n">
        <x:f>COUNTIFS(Orders!$I$2:$I$500,$A10,Orders!$H$2:$H$500,"Completed")</x:f>
        <x:v>0</x:v>
      </x:c>
      <x:c r="C10" t="n">
        <x:f>COUNTIFS(Orders!$I$2:$I$500,$A10,Orders!$H$2:$H$500,"Refunded")</x:f>
        <x:v>0</x:v>
      </x:c>
      <x:c r="D10" t="n">
        <x:f>COUNTIFS(Orders!$I$2:$I$500,$A10,Orders!$H$2:$H$500,"Cancelled")</x:f>
        <x:v>0</x:v>
      </x:c>
      <x:c r="E10" s="26" t="n">
        <x:f>SUMIF(Orders!$I$2:$I$500,$A10,Orders!$J$2:$J$500)</x:f>
        <x:v>0</x:v>
      </x:c>
      <x:c r="F10" s="26" t="n">
        <x:f>SUMIF(Orders!$I$2:$I$500,$A10,Orders!$L$2:$L$500)</x:f>
        <x:v>0</x:v>
      </x:c>
    </x:row>
    <x:row r="11">
      <x:c r="A11" t="str">
        <x:v>2027-04</x:v>
      </x:c>
      <x:c r="B11" t="n">
        <x:f>COUNTIFS(Orders!$I$2:$I$500,$A11,Orders!$H$2:$H$500,"Completed")</x:f>
        <x:v>0</x:v>
      </x:c>
      <x:c r="C11" t="n">
        <x:f>COUNTIFS(Orders!$I$2:$I$500,$A11,Orders!$H$2:$H$500,"Refunded")</x:f>
        <x:v>0</x:v>
      </x:c>
      <x:c r="D11" t="n">
        <x:f>COUNTIFS(Orders!$I$2:$I$500,$A11,Orders!$H$2:$H$500,"Cancelled")</x:f>
        <x:v>0</x:v>
      </x:c>
      <x:c r="E11" s="26" t="n">
        <x:f>SUMIF(Orders!$I$2:$I$500,$A11,Orders!$J$2:$J$500)</x:f>
        <x:v>0</x:v>
      </x:c>
      <x:c r="F11" s="26" t="n">
        <x:f>SUMIF(Orders!$I$2:$I$500,$A11,Orders!$L$2:$L$500)</x:f>
        <x:v>0</x:v>
      </x:c>
    </x:row>
    <x:row r="12">
      <x:c r="A12" t="str">
        <x:v>2027-05</x:v>
      </x:c>
      <x:c r="B12" t="n">
        <x:f>COUNTIFS(Orders!$I$2:$I$500,$A12,Orders!$H$2:$H$500,"Completed")</x:f>
        <x:v>0</x:v>
      </x:c>
      <x:c r="C12" t="n">
        <x:f>COUNTIFS(Orders!$I$2:$I$500,$A12,Orders!$H$2:$H$500,"Refunded")</x:f>
        <x:v>0</x:v>
      </x:c>
      <x:c r="D12" t="n">
        <x:f>COUNTIFS(Orders!$I$2:$I$500,$A12,Orders!$H$2:$H$500,"Cancelled")</x:f>
        <x:v>0</x:v>
      </x:c>
      <x:c r="E12" s="26" t="n">
        <x:f>SUMIF(Orders!$I$2:$I$500,$A12,Orders!$J$2:$J$500)</x:f>
        <x:v>0</x:v>
      </x:c>
      <x:c r="F12" s="26" t="n">
        <x:f>SUMIF(Orders!$I$2:$I$500,$A12,Orders!$L$2:$L$500)</x:f>
        <x:v>0</x:v>
      </x:c>
    </x:row>
    <x:row r="13">
      <x:c r="A13" t="str">
        <x:v>2027-06</x:v>
      </x:c>
      <x:c r="B13" t="n">
        <x:f>COUNTIFS(Orders!$I$2:$I$500,$A13,Orders!$H$2:$H$500,"Completed")</x:f>
        <x:v>0</x:v>
      </x:c>
      <x:c r="C13" t="n">
        <x:f>COUNTIFS(Orders!$I$2:$I$500,$A13,Orders!$H$2:$H$500,"Refunded")</x:f>
        <x:v>0</x:v>
      </x:c>
      <x:c r="D13" t="n">
        <x:f>COUNTIFS(Orders!$I$2:$I$500,$A13,Orders!$H$2:$H$500,"Cancelled")</x:f>
        <x:v>0</x:v>
      </x:c>
      <x:c r="E13" s="26" t="n">
        <x:f>SUMIF(Orders!$I$2:$I$500,$A13,Orders!$J$2:$J$500)</x:f>
        <x:v>0</x:v>
      </x:c>
      <x:c r="F13" s="26" t="n">
        <x:f>SUMIF(Orders!$I$2:$I$500,$A13,Orders!$L$2:$L$500)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6" customHeight="1">
      <x:c r="A1" s="23" t="str">
        <x:v>Product</x:v>
      </x:c>
      <x:c r="B1" s="23" t="str">
        <x:v>Completed units</x:v>
      </x:c>
      <x:c r="C1" s="23" t="str">
        <x:v>Sales (CAD)</x:v>
      </x:c>
      <x:c r="D1" s="23" t="str">
        <x:v>Gross Profit (CAD)</x:v>
      </x:c>
    </x:row>
    <x:row r="2">
      <x:c r="A2" t="str">
        <x:v>Canvas Tote</x:v>
      </x:c>
      <x:c r="B2" t="n">
        <x:f>SUMIFS(Orders!$E$2:$E$500,Orders!$C$2:$C$500,$A2,Orders!$H$2:$H$500,"Completed")</x:f>
        <x:v>30</x:v>
      </x:c>
      <x:c r="C2" s="26" t="n">
        <x:f>SUMIF(Orders!$C$2:$C$500,$A2,Orders!$J$2:$J$500)</x:f>
        <x:v>540</x:v>
      </x:c>
      <x:c r="D2" s="26" t="n">
        <x:f>SUMIF(Orders!$C$2:$C$500,$A2,Orders!$L$2:$L$500)</x:f>
        <x:v>351</x:v>
      </x:c>
    </x:row>
    <x:row r="3">
      <x:c r="A3" t="str">
        <x:v>Ceramic Mug</x:v>
      </x:c>
      <x:c r="B3" t="n">
        <x:f>SUMIFS(Orders!$E$2:$E$500,Orders!$C$2:$C$500,$A3,Orders!$H$2:$H$500,"Completed")</x:f>
        <x:v>35</x:v>
      </x:c>
      <x:c r="C3" s="26" t="n">
        <x:f>SUMIF(Orders!$C$2:$C$500,$A3,Orders!$J$2:$J$500)</x:f>
        <x:v>770</x:v>
      </x:c>
      <x:c r="D3" s="26" t="n">
        <x:f>SUMIF(Orders!$C$2:$C$500,$A3,Orders!$L$2:$L$500)</x:f>
        <x:v>476.00000000000006</x:v>
      </x:c>
    </x:row>
    <x:row r="4">
      <x:c r="A4" t="str">
        <x:v>Desk Lamp</x:v>
      </x:c>
      <x:c r="B4" t="n">
        <x:f>SUMIFS(Orders!$E$2:$E$500,Orders!$C$2:$C$500,$A4,Orders!$H$2:$H$500,"Completed")</x:f>
        <x:v>43</x:v>
      </x:c>
      <x:c r="C4" s="26" t="n">
        <x:f>SUMIF(Orders!$C$2:$C$500,$A4,Orders!$J$2:$J$500)</x:f>
        <x:v>1892</x:v>
      </x:c>
      <x:c r="D4" s="26" t="n">
        <x:f>SUMIF(Orders!$C$2:$C$500,$A4,Orders!$L$2:$L$500)</x:f>
        <x:v>946</x:v>
      </x:c>
    </x:row>
    <x:row r="5">
      <x:c r="A5" t="str">
        <x:v>Notebook</x:v>
      </x:c>
      <x:c r="B5" t="n">
        <x:f>SUMIFS(Orders!$E$2:$E$500,Orders!$C$2:$C$500,$A5,Orders!$H$2:$H$500,"Completed")</x:f>
        <x:v>32</x:v>
      </x:c>
      <x:c r="C5" s="26" t="n">
        <x:f>SUMIF(Orders!$C$2:$C$500,$A5,Orders!$J$2:$J$500)</x:f>
        <x:v>384</x:v>
      </x:c>
      <x:c r="D5" s="26" t="n">
        <x:f>SUMIF(Orders!$C$2:$C$500,$A5,Orders!$L$2:$L$500)</x:f>
        <x:v>252.8</x:v>
      </x:c>
    </x:row>
    <x:row r="6">
      <x:c r="A6" t="str">
        <x:v>Pen Set</x:v>
      </x:c>
      <x:c r="B6" t="n">
        <x:f>SUMIFS(Orders!$E$2:$E$500,Orders!$C$2:$C$500,$A6,Orders!$H$2:$H$500,"Completed")</x:f>
        <x:v>38</x:v>
      </x:c>
      <x:c r="C6" s="26" t="n">
        <x:f>SUMIF(Orders!$C$2:$C$500,$A6,Orders!$J$2:$J$500)</x:f>
        <x:v>570</x:v>
      </x:c>
      <x:c r="D6" s="26" t="n">
        <x:f>SUMIF(Orders!$C$2:$C$500,$A6,Orders!$L$2:$L$500)</x:f>
        <x:v>380</x:v>
      </x:c>
    </x:row>
    <x:row r="7">
      <x:c r="A7" t="str">
        <x:v>Phone Stand</x:v>
      </x:c>
      <x:c r="B7" t="n">
        <x:f>SUMIFS(Orders!$E$2:$E$500,Orders!$C$2:$C$500,$A7,Orders!$H$2:$H$500,"Completed")</x:f>
        <x:v>55</x:v>
      </x:c>
      <x:c r="C7" s="26" t="n">
        <x:f>SUMIF(Orders!$C$2:$C$500,$A7,Orders!$J$2:$J$500)</x:f>
        <x:v>1540</x:v>
      </x:c>
      <x:c r="D7" s="26" t="n">
        <x:f>SUMIF(Orders!$C$2:$C$500,$A7,Orders!$L$2:$L$500)</x:f>
        <x:v>896.5000000000001</x:v>
      </x:c>
    </x:row>
    <x:row r="8">
      <x:c r="A8" t="str">
        <x:v>Planner</x:v>
      </x:c>
      <x:c r="B8" t="n">
        <x:f>SUMIFS(Orders!$E$2:$E$500,Orders!$C$2:$C$500,$A8,Orders!$H$2:$H$500,"Completed")</x:f>
        <x:v>26</x:v>
      </x:c>
      <x:c r="C8" s="26" t="n">
        <x:f>SUMIF(Orders!$C$2:$C$500,$A8,Orders!$J$2:$J$500)</x:f>
        <x:v>546</x:v>
      </x:c>
      <x:c r="D8" s="26" t="n">
        <x:f>SUMIF(Orders!$C$2:$C$500,$A8,Orders!$L$2:$L$500)</x:f>
        <x:v>340.6</x:v>
      </x:c>
    </x:row>
    <x:row r="9">
      <x:c r="A9" t="str">
        <x:v>Water Bottle</x:v>
      </x:c>
      <x:c r="B9" t="n">
        <x:f>SUMIFS(Orders!$E$2:$E$500,Orders!$C$2:$C$500,$A9,Orders!$H$2:$H$500,"Completed")</x:f>
        <x:v>18</x:v>
      </x:c>
      <x:c r="C9" s="26" t="n">
        <x:f>SUMIF(Orders!$C$2:$C$500,$A9,Orders!$J$2:$J$500)</x:f>
        <x:v>432</x:v>
      </x:c>
      <x:c r="D9" s="26" t="n">
        <x:f>SUMIF(Orders!$C$2:$C$500,$A9,Orders!$L$2:$L$500)</x:f>
        <x:v>266.40000000000003</x:v>
      </x:c>
    </x:row>
  </x:sheetData>
  <x:pageMargins left="0.7" right="0.7" top="0.75" bottom="0.75" header="0.3" footer="0.3"/>
</x:worksheet>
</file>